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Constantes" sheetId="2" state="visible" r:id="rId2"/>
    <sheet name="TACOT" sheetId="3" state="visible" r:id="rId3"/>
    <sheet name="CPh70" sheetId="4" state="visible" r:id="rId4"/>
    <sheet name="ZURAM" sheetId="5" state="visible" r:id="rId5"/>
    <sheet name="SC-1008" sheetId="6" state="visible" r:id="rId6"/>
    <sheet name="MX-4926" sheetId="7" state="visible" r:id="rId7"/>
    <sheet name="Liège-phénolique" sheetId="8" state="visible" r:id="rId8"/>
    <sheet name="Chêne" sheetId="9" state="visible" r:id="rId9"/>
    <sheet name="Carbone" sheetId="10" state="visible" r:id="rId10"/>
    <sheet name="Silice" sheetId="11" state="visible" r:id="rId11"/>
    <sheet name="SiC" sheetId="12" state="visible" r:id="rId12"/>
    <sheet name="Molybdène" sheetId="13" state="visible" r:id="rId13"/>
  </sheets>
  <definedNames/>
  <calcPr calcId="124519" fullCalcOnLoad="1"/>
</workbook>
</file>

<file path=xl/styles.xml><?xml version="1.0" encoding="utf-8"?>
<styleSheet xmlns="http://schemas.openxmlformats.org/spreadsheetml/2006/main">
  <numFmts count="10">
    <numFmt numFmtId="164" formatCode="0.0000"/>
    <numFmt numFmtId="165" formatCode="0.00000"/>
    <numFmt numFmtId="166" formatCode="0.000"/>
    <numFmt numFmtId="167" formatCode="0.0000000000"/>
    <numFmt numFmtId="168" formatCode="0.0"/>
    <numFmt numFmtId="169" formatCode="0.000000000000"/>
    <numFmt numFmtId="170" formatCode="0.000000"/>
    <numFmt numFmtId="171" formatCode="0.00000000"/>
    <numFmt numFmtId="172" formatCode="0.0000000"/>
    <numFmt numFmtId="173" formatCode="0.###"/>
  </numFmts>
  <fonts count="14">
    <font>
      <name val="Calibri"/>
      <family val="2"/>
      <color theme="1"/>
      <sz val="11"/>
      <scheme val="minor"/>
    </font>
    <font>
      <name val="Arial"/>
      <b val="1"/>
      <color rgb="00FFFFFF"/>
      <sz val="16"/>
    </font>
    <font>
      <name val="Arial"/>
      <i val="1"/>
      <color rgb="00FFFFFF"/>
      <sz val="10"/>
    </font>
    <font>
      <name val="Courier New"/>
      <sz val="9"/>
    </font>
    <font>
      <name val="Arial"/>
      <b val="1"/>
      <color rgb="00FFFFFF"/>
      <sz val="11"/>
    </font>
    <font>
      <name val="Arial"/>
      <b val="1"/>
      <sz val="9"/>
    </font>
    <font>
      <name val="Arial"/>
      <sz val="10"/>
    </font>
    <font>
      <name val="Arial"/>
      <color rgb="000000FF"/>
      <sz val="10"/>
    </font>
    <font>
      <name val="Arial"/>
      <color rgb="00000000"/>
      <sz val="10"/>
    </font>
    <font>
      <name val="Arial"/>
      <i val="1"/>
      <color rgb="00595959"/>
      <sz val="9"/>
    </font>
    <font>
      <name val="Arial"/>
      <b val="1"/>
      <color rgb="00C00000"/>
      <sz val="10"/>
    </font>
    <font>
      <name val="Arial"/>
      <color rgb="00008000"/>
      <sz val="10"/>
    </font>
    <font>
      <name val="Arial"/>
      <b val="1"/>
      <color rgb="001F3864"/>
      <sz val="10"/>
    </font>
    <font>
      <name val="Arial"/>
      <b val="1"/>
      <sz val="10"/>
    </font>
  </fonts>
  <fills count="8">
    <fill>
      <patternFill/>
    </fill>
    <fill>
      <patternFill patternType="gray125"/>
    </fill>
    <fill>
      <patternFill patternType="solid">
        <fgColor rgb="001F3864"/>
      </patternFill>
    </fill>
    <fill>
      <patternFill patternType="solid">
        <fgColor rgb="002E75B6"/>
      </patternFill>
    </fill>
    <fill>
      <patternFill patternType="solid">
        <fgColor rgb="00D9E2F3"/>
      </patternFill>
    </fill>
    <fill>
      <patternFill patternType="solid">
        <fgColor rgb="00F2F2F2"/>
      </patternFill>
    </fill>
    <fill>
      <patternFill patternType="solid">
        <fgColor rgb="00FCE4E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1">
    <xf numFmtId="0" fontId="0" fillId="0" borderId="0" pivotButton="0" quotePrefix="0" xfId="0"/>
    <xf numFmtId="0" fontId="1" fillId="2" borderId="0" applyAlignment="1" pivotButton="0" quotePrefix="0" xfId="0">
      <alignment vertical="center" indent="1"/>
    </xf>
    <xf numFmtId="0" fontId="2" fillId="2" borderId="0" applyAlignment="1" pivotButton="0" quotePrefix="0" xfId="0">
      <alignment vertical="center" indent="1"/>
    </xf>
    <xf numFmtId="0" fontId="3" fillId="0" borderId="0" applyAlignment="1" pivotButton="0" quotePrefix="0" xfId="0">
      <alignment vertical="center" indent="1"/>
    </xf>
    <xf numFmtId="0" fontId="4" fillId="3" borderId="0" applyAlignment="1" pivotButton="0" quotePrefix="0" xfId="0">
      <alignment vertical="center" indent="1"/>
    </xf>
    <xf numFmtId="0" fontId="6" fillId="0" borderId="0" applyAlignment="1" pivotButton="0" quotePrefix="0" xfId="0">
      <alignment vertical="top" wrapText="1"/>
    </xf>
    <xf numFmtId="0" fontId="5" fillId="4" borderId="1" applyAlignment="1" pivotButton="0" quotePrefix="0" xfId="0">
      <alignment horizontal="center" wrapText="1"/>
    </xf>
    <xf numFmtId="0" fontId="6" fillId="0" borderId="1" pivotButton="0" quotePrefix="0" xfId="0"/>
    <xf numFmtId="164" fontId="11" fillId="0" borderId="1" pivotButton="0" quotePrefix="0" xfId="0"/>
    <xf numFmtId="2" fontId="8" fillId="0" borderId="1" pivotButton="0" quotePrefix="0" xfId="0"/>
    <xf numFmtId="0" fontId="10" fillId="0" borderId="1" pivotButton="0" quotePrefix="0" xfId="0"/>
    <xf numFmtId="0" fontId="9" fillId="0" borderId="1" pivotButton="0" quotePrefix="0" xfId="0"/>
    <xf numFmtId="0" fontId="9" fillId="0" borderId="0" applyAlignment="1" pivotButton="0" quotePrefix="0" xfId="0">
      <alignment vertical="top" wrapText="1"/>
    </xf>
    <xf numFmtId="0" fontId="13" fillId="0" borderId="1" pivotButton="0" quotePrefix="0" xfId="0"/>
    <xf numFmtId="0" fontId="3" fillId="0" borderId="1" pivotButton="0" quotePrefix="0" xfId="0"/>
    <xf numFmtId="0" fontId="8" fillId="0" borderId="1" pivotButton="0" quotePrefix="0" xfId="0"/>
    <xf numFmtId="0" fontId="13" fillId="0" borderId="1" applyAlignment="1" pivotButton="0" quotePrefix="0" xfId="0">
      <alignment vertical="top" wrapText="1"/>
    </xf>
    <xf numFmtId="0" fontId="6" fillId="0" borderId="1" applyAlignment="1" pivotButton="0" quotePrefix="0" xfId="0">
      <alignment vertical="top" wrapText="1"/>
    </xf>
    <xf numFmtId="0" fontId="3" fillId="0" borderId="1" applyAlignment="1" pivotButton="0" quotePrefix="0" xfId="0">
      <alignment vertical="top" wrapText="1"/>
    </xf>
    <xf numFmtId="0" fontId="9" fillId="0" borderId="1" applyAlignment="1" pivotButton="0" quotePrefix="0" xfId="0">
      <alignment vertical="top" wrapText="1"/>
    </xf>
    <xf numFmtId="0" fontId="12" fillId="0" borderId="0" pivotButton="0" quotePrefix="0" xfId="0"/>
    <xf numFmtId="164" fontId="7" fillId="0" borderId="1" pivotButton="0" quotePrefix="0" xfId="0"/>
    <xf numFmtId="165" fontId="7" fillId="0" borderId="1" pivotButton="0" quotePrefix="0" xfId="0"/>
    <xf numFmtId="166" fontId="10" fillId="0" borderId="1" pivotButton="0" quotePrefix="0" xfId="0"/>
    <xf numFmtId="166" fontId="8" fillId="0" borderId="1" pivotButton="0" quotePrefix="0" xfId="0"/>
    <xf numFmtId="166" fontId="11" fillId="0" borderId="1" pivotButton="0" quotePrefix="0" xfId="0"/>
    <xf numFmtId="164" fontId="8" fillId="0" borderId="1" pivotButton="0" quotePrefix="0" xfId="0"/>
    <xf numFmtId="0" fontId="3" fillId="0" borderId="0" applyAlignment="1" pivotButton="0" quotePrefix="0" xfId="0">
      <alignment vertical="center" wrapText="1"/>
    </xf>
    <xf numFmtId="166" fontId="7" fillId="0" borderId="1" pivotButton="0" quotePrefix="0" xfId="0"/>
    <xf numFmtId="0" fontId="3" fillId="5" borderId="0" applyAlignment="1" pivotButton="0" quotePrefix="0" xfId="0">
      <alignment vertical="center" indent="1"/>
    </xf>
    <xf numFmtId="0" fontId="7" fillId="0" borderId="0" pivotButton="0" quotePrefix="0" xfId="0"/>
    <xf numFmtId="0" fontId="8" fillId="0" borderId="0" pivotButton="0" quotePrefix="0" xfId="0"/>
    <xf numFmtId="0" fontId="11" fillId="0" borderId="0" pivotButton="0" quotePrefix="0" xfId="0"/>
    <xf numFmtId="0" fontId="10" fillId="6" borderId="0" pivotButton="0" quotePrefix="0" xfId="0"/>
    <xf numFmtId="0" fontId="6" fillId="7" borderId="0" pivotButton="0" quotePrefix="0" xfId="0"/>
    <xf numFmtId="0" fontId="6" fillId="0" borderId="0" pivotButton="0" quotePrefix="0" xfId="0"/>
    <xf numFmtId="2" fontId="7" fillId="0" borderId="1" pivotButton="0" quotePrefix="0" xfId="0"/>
    <xf numFmtId="0" fontId="7" fillId="7" borderId="0" pivotButton="0" quotePrefix="0" xfId="0"/>
    <xf numFmtId="167" fontId="8" fillId="0" borderId="1" pivotButton="0" quotePrefix="0" xfId="0"/>
    <xf numFmtId="167" fontId="7" fillId="0" borderId="1" pivotButton="0" quotePrefix="0" xfId="0"/>
    <xf numFmtId="1" fontId="7" fillId="0" borderId="1" pivotButton="0" quotePrefix="0" xfId="0"/>
    <xf numFmtId="11" fontId="8" fillId="0" borderId="0" pivotButton="0" quotePrefix="0" xfId="0"/>
    <xf numFmtId="164" fontId="10" fillId="6" borderId="1" pivotButton="0" quotePrefix="0" xfId="0"/>
    <xf numFmtId="10" fontId="8" fillId="0" borderId="1" pivotButton="0" quotePrefix="0" xfId="0"/>
    <xf numFmtId="166" fontId="10" fillId="6" borderId="1" pivotButton="0" quotePrefix="0" xfId="0"/>
    <xf numFmtId="168" fontId="8" fillId="0" borderId="0" pivotButton="0" quotePrefix="0" xfId="0"/>
    <xf numFmtId="164" fontId="8" fillId="0" borderId="0" pivotButton="0" quotePrefix="0" xfId="0"/>
    <xf numFmtId="2" fontId="8" fillId="0" borderId="0" pivotButton="0" quotePrefix="0" xfId="0"/>
    <xf numFmtId="1" fontId="6" fillId="0" borderId="1" pivotButton="0" quotePrefix="0" xfId="0"/>
    <xf numFmtId="168" fontId="8" fillId="0" borderId="1" pivotButton="0" quotePrefix="0" xfId="0"/>
    <xf numFmtId="164" fontId="11" fillId="0" borderId="0" pivotButton="0" quotePrefix="0" xfId="0"/>
    <xf numFmtId="166" fontId="7" fillId="7" borderId="1" pivotButton="0" quotePrefix="0" xfId="0"/>
    <xf numFmtId="165" fontId="11" fillId="0" borderId="1" pivotButton="0" quotePrefix="0" xfId="0"/>
    <xf numFmtId="169" fontId="7" fillId="0" borderId="1" pivotButton="0" quotePrefix="0" xfId="0"/>
    <xf numFmtId="170" fontId="7" fillId="0" borderId="1" pivotButton="0" quotePrefix="0" xfId="0"/>
    <xf numFmtId="168" fontId="7" fillId="0" borderId="1" pivotButton="0" quotePrefix="0" xfId="0"/>
    <xf numFmtId="170" fontId="8" fillId="0" borderId="1" pivotButton="0" quotePrefix="0" xfId="0"/>
    <xf numFmtId="165" fontId="8" fillId="0" borderId="1" pivotButton="0" quotePrefix="0" xfId="0"/>
    <xf numFmtId="169" fontId="8" fillId="0" borderId="1" pivotButton="0" quotePrefix="0" xfId="0"/>
    <xf numFmtId="11" fontId="8" fillId="0" borderId="1" pivotButton="0" quotePrefix="0" xfId="0"/>
    <xf numFmtId="170" fontId="8" fillId="0" borderId="0" pivotButton="0" quotePrefix="0" xfId="0"/>
    <xf numFmtId="2" fontId="11" fillId="0" borderId="1" pivotButton="0" quotePrefix="0" xfId="0"/>
    <xf numFmtId="166" fontId="11" fillId="0" borderId="0" pivotButton="0" quotePrefix="0" xfId="0"/>
    <xf numFmtId="171" fontId="7" fillId="7" borderId="1" pivotButton="0" quotePrefix="0" xfId="0"/>
    <xf numFmtId="171" fontId="8" fillId="0" borderId="1" pivotButton="0" quotePrefix="0" xfId="0"/>
    <xf numFmtId="172" fontId="8" fillId="0" borderId="0" pivotButton="0" quotePrefix="0" xfId="0"/>
    <xf numFmtId="1" fontId="10" fillId="0" borderId="1" pivotButton="0" quotePrefix="0" xfId="0"/>
    <xf numFmtId="10" fontId="8" fillId="0" borderId="0" pivotButton="0" quotePrefix="0" xfId="0"/>
    <xf numFmtId="164" fontId="10" fillId="0" borderId="1" pivotButton="0" quotePrefix="0" xfId="0"/>
    <xf numFmtId="2" fontId="7" fillId="7" borderId="1" pivotButton="0" quotePrefix="0" xfId="0"/>
    <xf numFmtId="166" fontId="8" fillId="0" borderId="0" pivotButton="0" quotePrefix="0" xfId="0"/>
    <xf numFmtId="166" fontId="7" fillId="7" borderId="0" pivotButton="0" quotePrefix="0" xfId="0"/>
    <xf numFmtId="166" fontId="7" fillId="0" borderId="0" pivotButton="0" quotePrefix="0" xfId="0"/>
    <xf numFmtId="1" fontId="8" fillId="0" borderId="1" pivotButton="0" quotePrefix="0" xfId="0"/>
    <xf numFmtId="165" fontId="8" fillId="0" borderId="0" pivotButton="0" quotePrefix="0" xfId="0"/>
    <xf numFmtId="0" fontId="7" fillId="0" borderId="1" pivotButton="0" quotePrefix="0" xfId="0"/>
    <xf numFmtId="1" fontId="8" fillId="0" borderId="0" pivotButton="0" quotePrefix="0" xfId="0"/>
    <xf numFmtId="0" fontId="10" fillId="6" borderId="1" pivotButton="0" quotePrefix="0" xfId="0"/>
    <xf numFmtId="164" fontId="7" fillId="0" borderId="0" pivotButton="0" quotePrefix="0" xfId="0"/>
    <xf numFmtId="1" fontId="7" fillId="0" borderId="0" pivotButton="0" quotePrefix="0" xfId="0"/>
    <xf numFmtId="173" fontId="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I57"/>
  <sheetViews>
    <sheetView showGridLines="0" workbookViewId="0">
      <pane ySplit="4" topLeftCell="A5" activePane="bottomLeft" state="frozen"/>
      <selection pane="bottomLeft" activeCell="A1" sqref="A1"/>
    </sheetView>
  </sheetViews>
  <sheetFormatPr baseColWidth="8" defaultRowHeight="15"/>
  <cols>
    <col width="4.5" customWidth="1" min="1" max="1"/>
    <col width="34" customWidth="1" min="2" max="2"/>
    <col width="13" customWidth="1" min="3" max="3"/>
    <col width="13" customWidth="1" min="4" max="4"/>
    <col width="13" customWidth="1" min="5" max="5"/>
    <col width="13" customWidth="1" min="6" max="6"/>
    <col width="13" customWidth="1" min="7" max="7"/>
    <col width="13" customWidth="1" min="8" max="8"/>
    <col width="72" customWidth="1" min="9" max="9"/>
  </cols>
  <sheetData>
    <row r="1" ht="26" customHeight="1">
      <c r="A1" s="1" t="inlineStr">
        <is>
          <t>Mise en données des matériaux — synthèse</t>
        </is>
      </c>
    </row>
    <row r="2" ht="16" customHeight="1">
      <c r="A2" s="2" t="inlineStr">
        <is>
          <t>D'où viennent les proportions portées dans data/mixtures/*.xml : hypothèses, étapes et formules, un onglet par matériau</t>
        </is>
      </c>
    </row>
    <row r="3">
      <c r="A3" s="3" t="inlineStr">
        <is>
          <t>Fichier(s) XML : data/mixtures/ — 12 matériaux, 21 fichiers de mélange</t>
        </is>
      </c>
    </row>
    <row r="5" ht="18" customHeight="1">
      <c r="A5" s="4" t="inlineStr">
        <is>
          <t>§1 — MODE D'EMPLOI</t>
        </is>
      </c>
    </row>
    <row r="6" ht="30" customHeight="1">
      <c r="B6" s="5" t="inlineStr">
        <is>
          <t>Chaque onglet matériau reconstruit, ÉTAPE PAR ÉTAPE ET EN FORMULES VIVANTES, la chaîne qui mène de la donnée expérimentale publiée aux trois nombres portés dans le fichier XML. Modifier une cellule bleue (donnée d'entrée) recalcule toute la chaîne jusqu'à la composition, et jusqu'à l'écart affiché avec la valeur réellement présente dans le dépôt.</t>
        </is>
      </c>
    </row>
    <row r="7" ht="30" customHeight="1">
      <c r="B7" s="5" t="inlineStr">
        <is>
          <t>Trame commune à tous les onglets : §0 fiche d'identité · §1 hypothèses · §2 données d'entrée (avec sources) · §3 calcul pas à pas · §4 résultat porté dans le XML · §5 contrôles et validation croisée · §6 sensibilité · §7 réponse matériau (hors XML) · §8 bloc XML.</t>
        </is>
      </c>
    </row>
    <row r="8" ht="16" customHeight="1">
      <c r="B8" s="5" t="inlineStr">
        <is>
          <t>L'onglet Constantes porte les masses molaires, l'air de couche limite, les motifs de résine et le rappel du bilan de masse de surface — il est référencé par tous les autres.</t>
        </is>
      </c>
    </row>
    <row r="10" ht="18" customHeight="1">
      <c r="A10" s="4" t="inlineStr">
        <is>
          <t>§2 — TABLEAU DE SYNTHÈSE : LES COMPOSITIONS DES XML</t>
        </is>
      </c>
    </row>
    <row r="11">
      <c r="B11" s="6" t="inlineStr">
        <is>
          <t>Matériau (onglet)</t>
        </is>
      </c>
      <c r="C11" s="6" t="inlineStr">
        <is>
          <t>gaz — C</t>
        </is>
      </c>
      <c r="D11" s="6" t="inlineStr">
        <is>
          <t>gaz — H</t>
        </is>
      </c>
      <c r="E11" s="6" t="inlineStr">
        <is>
          <t>gaz — O</t>
        </is>
      </c>
      <c r="F11" s="6" t="inlineStr">
        <is>
          <t>H/O</t>
        </is>
      </c>
      <c r="G11" s="6" t="inlineStr">
        <is>
          <t>char</t>
        </is>
      </c>
      <c r="H11" s="6" t="inlineStr">
        <is>
          <t>k = B'g/B'c</t>
        </is>
      </c>
    </row>
    <row r="12">
      <c r="B12" s="7" t="inlineStr">
        <is>
          <t>TACOT</t>
        </is>
      </c>
      <c r="C12" s="8">
        <f>'TACOT'!C73</f>
        <v>0.206</v>
      </c>
      <c r="D12" s="8">
        <f>'TACOT'!D73</f>
        <v>0.679</v>
      </c>
      <c r="E12" s="8">
        <f>'TACOT'!E73</f>
        <v>0.115</v>
      </c>
      <c r="F12" s="9">
        <f>'TACOT'!D73/'TACOT'!E73</f>
        <v>5.904347826086957</v>
      </c>
      <c r="G12" s="10" t="inlineStr">
        <is>
          <t>C:1.0</t>
        </is>
      </c>
      <c r="H12" s="8">
        <f>'TACOT'!C103</f>
        <v>0.2727272727272727</v>
      </c>
    </row>
    <row r="13">
      <c r="B13" s="7" t="inlineStr">
        <is>
          <t>CPh70</t>
        </is>
      </c>
      <c r="C13" s="8">
        <f>'CPh70'!C48</f>
        <v>0.206</v>
      </c>
      <c r="D13" s="8">
        <f>'CPh70'!D48</f>
        <v>0.679</v>
      </c>
      <c r="E13" s="8">
        <f>'CPh70'!E48</f>
        <v>0.115</v>
      </c>
      <c r="F13" s="9">
        <f>'CPh70'!D48/'CPh70'!E48</f>
        <v>5.904347826086957</v>
      </c>
      <c r="G13" s="10" t="inlineStr">
        <is>
          <t>C:1.0</t>
        </is>
      </c>
      <c r="H13" s="8">
        <f>'CPh70'!C43</f>
        <v>0.13846153846153833</v>
      </c>
    </row>
    <row r="14">
      <c r="B14" s="7" t="inlineStr">
        <is>
          <t>ZURAM 18/50</t>
        </is>
      </c>
      <c r="C14" s="8">
        <f>'ZURAM'!C59</f>
        <v>0.171</v>
      </c>
      <c r="D14" s="8">
        <f>'ZURAM'!D59</f>
        <v>0.722</v>
      </c>
      <c r="E14" s="8">
        <f>'ZURAM'!E59</f>
        <v>0.107</v>
      </c>
      <c r="F14" s="9">
        <f>'ZURAM'!D59/'ZURAM'!E59</f>
        <v>6.747663551401869</v>
      </c>
      <c r="G14" s="10" t="inlineStr">
        <is>
          <t>C:1.0</t>
        </is>
      </c>
      <c r="H14" s="8">
        <f>'ZURAM'!C106</f>
        <v>0.24101132419663587</v>
      </c>
    </row>
    <row r="15">
      <c r="B15" s="7" t="inlineStr">
        <is>
          <t>SC-1008 (PICA)</t>
        </is>
      </c>
      <c r="C15" s="8">
        <f>'SC-1008'!C55</f>
        <v>0.2526</v>
      </c>
      <c r="D15" s="8">
        <f>'SC-1008'!D55</f>
        <v>0.6407</v>
      </c>
      <c r="E15" s="8">
        <f>'SC-1008'!E55</f>
        <v>0.1068</v>
      </c>
      <c r="F15" s="9">
        <f>'SC-1008'!D55/'SC-1008'!E55</f>
        <v>5.999063670411985</v>
      </c>
      <c r="G15" s="10" t="inlineStr">
        <is>
          <t>C:1.0</t>
        </is>
      </c>
      <c r="H15" s="8">
        <f>'SC-1008'!C126</f>
        <v>0.2345679012345679</v>
      </c>
    </row>
    <row r="16">
      <c r="B16" s="7" t="inlineStr">
        <is>
          <t>MX-4926</t>
        </is>
      </c>
      <c r="C16" s="8">
        <f>'MX-4926'!C68</f>
        <v>0.2526</v>
      </c>
      <c r="D16" s="8">
        <f>'MX-4926'!D68</f>
        <v>0.6407</v>
      </c>
      <c r="E16" s="8">
        <f>'MX-4926'!E68</f>
        <v>0.1068</v>
      </c>
      <c r="F16" s="9">
        <f>'MX-4926'!D68/'MX-4926'!E68</f>
        <v>5.999063670411985</v>
      </c>
      <c r="G16" s="10" t="inlineStr">
        <is>
          <t>C:1.0</t>
        </is>
      </c>
      <c r="H16" s="8">
        <f>'MX-4926'!C56</f>
        <v>0.18168390165143375</v>
      </c>
    </row>
    <row r="17">
      <c r="B17" s="7" t="inlineStr">
        <is>
          <t>Liège/phénolique</t>
        </is>
      </c>
      <c r="C17" s="8">
        <f>'Liège-phénolique'!C80</f>
        <v>0.287</v>
      </c>
      <c r="D17" s="8">
        <f>'Liège-phénolique'!D80</f>
        <v>0.592</v>
      </c>
      <c r="E17" s="8">
        <f>'Liège-phénolique'!E80</f>
        <v>0.121</v>
      </c>
      <c r="F17" s="9">
        <f>'Liège-phénolique'!D80/'Liège-phénolique'!E80</f>
        <v>4.892561983471074</v>
      </c>
      <c r="G17" s="10" t="inlineStr">
        <is>
          <t>C:1.0</t>
        </is>
      </c>
      <c r="H17" s="8">
        <f>'Liège-phénolique'!C120</f>
        <v>4.0</v>
      </c>
    </row>
    <row r="18">
      <c r="B18" s="7" t="inlineStr">
        <is>
          <t>Bois de chêne</t>
        </is>
      </c>
      <c r="C18" s="8">
        <f>'Chêne'!C67</f>
        <v>0.221</v>
      </c>
      <c r="D18" s="8">
        <f>'Chêne'!D67</f>
        <v>0.536</v>
      </c>
      <c r="E18" s="8">
        <f>'Chêne'!E67</f>
        <v>0.243</v>
      </c>
      <c r="F18" s="9">
        <f>'Chêne'!D67/'Chêne'!E67</f>
        <v>2.205761316872428</v>
      </c>
      <c r="G18" s="10" t="inlineStr">
        <is>
          <t>C:1.0</t>
        </is>
      </c>
      <c r="H18" s="8">
        <f>'Chêne'!C106</f>
        <v>4.0</v>
      </c>
    </row>
    <row r="19">
      <c r="B19" s="7" t="inlineStr">
        <is>
          <t>Carbone graphite</t>
        </is>
      </c>
      <c r="C19" s="11" t="inlineStr">
        <is>
          <t>—</t>
        </is>
      </c>
      <c r="D19" s="11" t="inlineStr">
        <is>
          <t>—</t>
        </is>
      </c>
      <c r="E19" s="11" t="inlineStr">
        <is>
          <t>—</t>
        </is>
      </c>
      <c r="F19" s="11" t="inlineStr">
        <is>
          <t>—</t>
        </is>
      </c>
      <c r="G19" s="10" t="inlineStr">
        <is>
          <t>C:1.0</t>
        </is>
      </c>
      <c r="H19" s="8">
        <f>'Carbone'!C53</f>
        <v>0.0</v>
      </c>
    </row>
    <row r="20">
      <c r="B20" s="7" t="inlineStr">
        <is>
          <t>Silice SiO2</t>
        </is>
      </c>
      <c r="C20" s="11" t="inlineStr">
        <is>
          <t>—</t>
        </is>
      </c>
      <c r="D20" s="11" t="inlineStr">
        <is>
          <t>—</t>
        </is>
      </c>
      <c r="E20" s="11" t="inlineStr">
        <is>
          <t>—</t>
        </is>
      </c>
      <c r="F20" s="11" t="inlineStr">
        <is>
          <t>—</t>
        </is>
      </c>
      <c r="G20" s="10" t="inlineStr">
        <is>
          <t>Si:1.0, O:2.0</t>
        </is>
      </c>
      <c r="H20" s="8">
        <f>'Silice'!C46</f>
        <v>0.0</v>
      </c>
    </row>
    <row r="21">
      <c r="B21" s="7" t="inlineStr">
        <is>
          <t>Carbure de silicium SiC</t>
        </is>
      </c>
      <c r="C21" s="11" t="inlineStr">
        <is>
          <t>—</t>
        </is>
      </c>
      <c r="D21" s="11" t="inlineStr">
        <is>
          <t>—</t>
        </is>
      </c>
      <c r="E21" s="11" t="inlineStr">
        <is>
          <t>—</t>
        </is>
      </c>
      <c r="F21" s="11" t="inlineStr">
        <is>
          <t>—</t>
        </is>
      </c>
      <c r="G21" s="10" t="inlineStr">
        <is>
          <t>Si:1.0, C:1.0</t>
        </is>
      </c>
      <c r="H21" s="8">
        <f>'SiC'!C69</f>
        <v>0.0</v>
      </c>
    </row>
    <row r="22">
      <c r="B22" s="7" t="inlineStr">
        <is>
          <t>Molybdène (TZM)</t>
        </is>
      </c>
      <c r="C22" s="11" t="inlineStr">
        <is>
          <t>—</t>
        </is>
      </c>
      <c r="D22" s="11" t="inlineStr">
        <is>
          <t>—</t>
        </is>
      </c>
      <c r="E22" s="11" t="inlineStr">
        <is>
          <t>—</t>
        </is>
      </c>
      <c r="F22" s="11" t="inlineStr">
        <is>
          <t>—</t>
        </is>
      </c>
      <c r="G22" s="10" t="inlineStr">
        <is>
          <t>Mo:1.0</t>
        </is>
      </c>
      <c r="H22" s="8">
        <f>'Molybdène'!C53</f>
        <v>0.0</v>
      </c>
    </row>
    <row r="23">
      <c r="B23" s="12" t="inlineStr">
        <is>
          <t>Les colonnes « gaz » sont des liens vers la ligne « valeur portée dans le XML » de chaque onglet. Le graphite, la silice, le SiC et le molybdène n'ont pas de gaz de pyrolyse (k = 0). TACOT et CPh70 portent RIGOUREUSEMENT la même composition : leurs fichiers XML sont identiques, seul k les distingue — c'est la démonstration de l'onglet CPh70.</t>
        </is>
      </c>
    </row>
    <row r="25" ht="18" customHeight="1">
      <c r="A25" s="4" t="inlineStr">
        <is>
          <t>§3 — LES TROIS SEULES DONNÉES QUE CONSOMME LE CALCUL</t>
        </is>
      </c>
    </row>
    <row r="26">
      <c r="B26" s="6" t="inlineStr">
        <is>
          <t>#</t>
        </is>
      </c>
      <c r="C26" s="6" t="inlineStr">
        <is>
          <t>Composition</t>
        </is>
      </c>
      <c r="D26" s="6" t="inlineStr">
        <is>
          <t>Rôle dans le bilan</t>
        </is>
      </c>
      <c r="E26" s="6" t="inlineStr">
        <is>
          <t>Option</t>
        </is>
      </c>
      <c r="F26" s="6" t="inlineStr">
        <is>
          <t>Comment on l'obtient</t>
        </is>
      </c>
      <c r="G26" s="6" t="inlineStr"/>
      <c r="H26" s="6" t="inlineStr"/>
    </row>
    <row r="27">
      <c r="B27" s="13" t="n">
        <v>1</v>
      </c>
      <c r="C27" s="7" t="inlineStr">
        <is>
          <t>bord de couche limite</t>
        </is>
      </c>
      <c r="D27" s="7" t="inlineStr">
        <is>
          <t>Y_e</t>
        </is>
      </c>
      <c r="E27" s="14" t="inlineStr">
        <is>
          <t>-bl</t>
        </is>
      </c>
      <c r="F27" s="11" t="inlineStr">
        <is>
          <t>l'atmosphère : air N:0.79 O:0.21 · Mars · Titan…</t>
        </is>
      </c>
      <c r="G27" s="15" t="inlineStr"/>
      <c r="H27" s="15" t="inlineStr"/>
    </row>
    <row r="28">
      <c r="B28" s="13" t="n">
        <v>2</v>
      </c>
      <c r="C28" s="7" t="inlineStr">
        <is>
          <t>gaz de pyrolyse</t>
        </is>
      </c>
      <c r="D28" s="7" t="inlineStr">
        <is>
          <t>Y_g</t>
        </is>
      </c>
      <c r="E28" s="14" t="inlineStr">
        <is>
          <t>-py</t>
        </is>
      </c>
      <c r="F28" s="11" t="inlineStr">
        <is>
          <t>c'est TOUT l'objet de ce classeur — quatre routes possibles, §4</t>
        </is>
      </c>
      <c r="G28" s="15" t="inlineStr"/>
      <c r="H28" s="15" t="inlineStr"/>
    </row>
    <row r="29">
      <c r="B29" s="13" t="n">
        <v>3</v>
      </c>
      <c r="C29" s="7" t="inlineStr">
        <is>
          <t>char</t>
        </is>
      </c>
      <c r="D29" s="7" t="inlineStr">
        <is>
          <t>Y_c</t>
        </is>
      </c>
      <c r="E29" s="14" t="inlineStr">
        <is>
          <t>-char + -char-elem</t>
        </is>
      </c>
      <c r="F29" s="11" t="inlineStr">
        <is>
          <t>C:1.0 si tous les constituants carbonisent vers le carbone ; sinon pondérer par les masses de char</t>
        </is>
      </c>
      <c r="G29" s="15" t="inlineStr"/>
      <c r="H29" s="15" t="inlineStr"/>
    </row>
    <row r="30">
      <c r="B30" s="12" t="inlineStr">
        <is>
          <t>Plus T, P et B'g. Rien d'autre : cf. src/apps/bprime.cpp:304-330. Sans -char/-char-elem, bprime utilise un char de carbone pur intégré ; les deux options vont toujours ensemble.</t>
        </is>
      </c>
    </row>
    <row r="32" ht="18" customHeight="1">
      <c r="A32" s="4" t="inlineStr">
        <is>
          <t>§4 — LES QUATRE ROUTES DE CALCUL DU GAZ DE PYROLYSE</t>
        </is>
      </c>
    </row>
    <row r="33">
      <c r="B33" s="6" t="inlineStr">
        <is>
          <t>Route</t>
        </is>
      </c>
      <c r="C33" s="6" t="inlineStr">
        <is>
          <t>Matériau</t>
        </is>
      </c>
      <c r="D33" s="6" t="inlineStr">
        <is>
          <t>Donnée primaire</t>
        </is>
      </c>
      <c r="E33" s="6" t="inlineStr">
        <is>
          <t>Passage à l'élémentaire</t>
        </is>
      </c>
      <c r="F33" s="6" t="inlineStr">
        <is>
          <t>Point critique</t>
        </is>
      </c>
      <c r="G33" s="6" t="inlineStr"/>
      <c r="H33" s="6" t="inlineStr"/>
    </row>
    <row r="34" ht="28" customHeight="1">
      <c r="B34" s="16" t="inlineStr">
        <is>
          <t>A — sommation atomique</t>
        </is>
      </c>
      <c r="C34" s="17" t="inlineStr">
        <is>
          <t>TACOT, CPh70</t>
        </is>
      </c>
      <c r="D34" s="17" t="inlineStr">
        <is>
          <t>spéciation moléculaire mesurée (7 espèces)</t>
        </is>
      </c>
      <c r="E34" s="18" t="inlineStr">
        <is>
          <t>n_E = Σ_j ν_E,j · x_j</t>
        </is>
      </c>
      <c r="F34" s="19" t="inlineStr">
        <is>
          <t>la renormalisation : somme réelle des colonnes (100.30), pas les totaux imprimés (100.0)</t>
        </is>
      </c>
      <c r="G34" s="15" t="inlineStr"/>
      <c r="H34" s="15" t="inlineStr"/>
    </row>
    <row r="35" ht="28" customHeight="1">
      <c r="B35" s="16" t="inlineStr">
        <is>
          <t>B — conversion directe</t>
        </is>
      </c>
      <c r="C35" s="17" t="inlineStr">
        <is>
          <t>ZURAM</t>
        </is>
      </c>
      <c r="D35" s="17" t="inlineStr">
        <is>
          <t>composition élémentaire MASSIQUE mesurée</t>
        </is>
      </c>
      <c r="E35" s="18" t="inlineStr">
        <is>
          <t>x_E = (y_E/M_E) / Σ (y_j/M_j)</t>
        </is>
      </c>
      <c r="F35" s="19" t="inlineStr">
        <is>
          <t>traçabilité limitée à 3 décimales ; la source primaire VKI n'est pas publique</t>
        </is>
      </c>
      <c r="G35" s="15" t="inlineStr"/>
      <c r="H35" s="15" t="inlineStr"/>
    </row>
    <row r="36" ht="28" customHeight="1">
      <c r="B36" s="16" t="inlineStr">
        <is>
          <t>C — fermeture élémentaire</t>
        </is>
      </c>
      <c r="C36" s="17" t="inlineStr">
        <is>
          <t>SC-1008, Chêne</t>
        </is>
      </c>
      <c r="D36" s="17" t="inlineStr">
        <is>
          <t>motif idéalisé (SC-1008) ou analyse élémentaire (chêne) + rendement en char</t>
        </is>
      </c>
      <c r="E36" s="18" t="inlineStr">
        <is>
          <t>n_E(gaz) = n_E(solide) − n_E(char)</t>
        </is>
      </c>
      <c r="F36" s="19" t="inlineStr">
        <is>
          <t>le rendement en char entre DANS la chaîne : ±0.05 sur Y déplace le carbone de ~12 %</t>
        </is>
      </c>
      <c r="G36" s="15" t="inlineStr"/>
      <c r="H36" s="15" t="inlineStr"/>
    </row>
    <row r="37" ht="28" customHeight="1">
      <c r="B37" s="16" t="inlineStr">
        <is>
          <t>D — fermeture sur DEUX constituants</t>
        </is>
      </c>
      <c r="C37" s="17" t="inlineStr">
        <is>
          <t>Liège/phénolique</t>
        </is>
      </c>
      <c r="D37" s="17" t="inlineStr">
        <is>
          <t>analyses des deux constituants + rendements</t>
        </is>
      </c>
      <c r="E37" s="18" t="inlineStr">
        <is>
          <t>n_E(gaz) = Σ_i [n_E(i) − n_E(char,i)]</t>
        </is>
      </c>
      <c r="F37" s="19" t="inlineStr">
        <is>
          <t>le renfort pyrolyse : le rapport renfort/résine entre dans la table B'</t>
        </is>
      </c>
      <c r="G37" s="15" t="inlineStr"/>
      <c r="H37" s="15" t="inlineStr"/>
    </row>
    <row r="38" ht="28" customHeight="1">
      <c r="B38" s="16" t="inlineStr">
        <is>
          <t>E — stœchiométrie directe</t>
        </is>
      </c>
      <c r="C38" s="17" t="inlineStr">
        <is>
          <t>Carbone, Silice, SiC, Mo</t>
        </is>
      </c>
      <c r="D38" s="17" t="inlineStr">
        <is>
          <t>la formule du solide</t>
        </is>
      </c>
      <c r="E38" s="18" t="inlineStr">
        <is>
          <t>aucun gaz de pyrolyse (B'g = 0)</t>
        </is>
      </c>
      <c r="F38" s="19" t="inlineStr">
        <is>
          <t>le char EST le matériau ; -char-elem Si pour la silice, N pour le SiC (char non congruent)</t>
        </is>
      </c>
      <c r="G38" s="15" t="inlineStr"/>
      <c r="H38" s="15" t="inlineStr"/>
    </row>
    <row r="40" ht="18" customHeight="1">
      <c r="A40" s="4" t="inlineStr">
        <is>
          <t>§5 — CE QUI N'ENTRE PAS DANS LE XML</t>
        </is>
      </c>
    </row>
    <row r="41">
      <c r="B41" s="6" t="inlineStr">
        <is>
          <t>Donnée</t>
        </is>
      </c>
      <c r="C41" s="6" t="inlineStr">
        <is>
          <t>Dans le XML ?</t>
        </is>
      </c>
      <c r="D41" s="6" t="inlineStr">
        <is>
          <t>Où elle sert vraiment</t>
        </is>
      </c>
      <c r="E41" s="6" t="inlineStr"/>
      <c r="F41" s="6" t="inlineStr"/>
      <c r="G41" s="6" t="inlineStr"/>
      <c r="H41" s="6" t="inlineStr"/>
    </row>
    <row r="42">
      <c r="B42" s="7" t="inlineStr">
        <is>
          <t>masse volumique ρ_v, ρ_c</t>
        </is>
      </c>
      <c r="C42" s="13" t="inlineStr">
        <is>
          <t>non</t>
        </is>
      </c>
      <c r="D42" s="11" t="inlineStr">
        <is>
          <t>solveur de réponse matériau ; récession ṡ = B'c·ṁe/ρ_c</t>
        </is>
      </c>
      <c r="E42" s="15" t="inlineStr"/>
      <c r="F42" s="15" t="inlineStr"/>
      <c r="G42" s="15" t="inlineStr"/>
      <c r="H42" s="15" t="inlineStr"/>
    </row>
    <row r="43">
      <c r="B43" s="7" t="inlineStr">
        <is>
          <t>porosité</t>
        </is>
      </c>
      <c r="C43" s="13" t="inlineStr">
        <is>
          <t>non</t>
        </is>
      </c>
      <c r="D43" s="11" t="inlineStr">
        <is>
          <t>conduction, perméabilité</t>
        </is>
      </c>
      <c r="E43" s="15" t="inlineStr"/>
      <c r="F43" s="15" t="inlineStr"/>
      <c r="G43" s="15" t="inlineStr"/>
      <c r="H43" s="15" t="inlineStr"/>
    </row>
    <row r="44">
      <c r="B44" s="7" t="inlineStr">
        <is>
          <t>rapport fibres/résine</t>
        </is>
      </c>
      <c r="C44" s="13" t="inlineStr">
        <is>
          <t>non *</t>
        </is>
      </c>
      <c r="D44" s="11" t="inlineStr">
        <is>
          <t>fixe la QUANTITÉ de gaz (donc B'g), pas sa composition</t>
        </is>
      </c>
      <c r="E44" s="15" t="inlineStr"/>
      <c r="F44" s="15" t="inlineStr"/>
      <c r="G44" s="15" t="inlineStr"/>
      <c r="H44" s="15" t="inlineStr"/>
    </row>
    <row r="45">
      <c r="B45" s="7" t="inlineStr">
        <is>
          <t>rendement en char</t>
        </is>
      </c>
      <c r="C45" s="13" t="inlineStr">
        <is>
          <t>non *</t>
        </is>
      </c>
      <c r="D45" s="11" t="inlineStr">
        <is>
          <t>idem — mais il entre dans le CALCUL du gaz pour les routes C et D</t>
        </is>
      </c>
      <c r="E45" s="15" t="inlineStr"/>
      <c r="F45" s="15" t="inlineStr"/>
      <c r="G45" s="15" t="inlineStr"/>
      <c r="H45" s="15" t="inlineStr"/>
    </row>
    <row r="46">
      <c r="B46" s="7" t="inlineStr">
        <is>
          <t>cinétique de pyrolyse</t>
        </is>
      </c>
      <c r="C46" s="13" t="inlineStr">
        <is>
          <t>non</t>
        </is>
      </c>
      <c r="D46" s="11" t="inlineStr">
        <is>
          <t>fixe B'g au cours du temps</t>
        </is>
      </c>
      <c r="E46" s="15" t="inlineStr"/>
      <c r="F46" s="15" t="inlineStr"/>
      <c r="G46" s="15" t="inlineStr"/>
      <c r="H46" s="15" t="inlineStr"/>
    </row>
    <row r="47">
      <c r="B47" s="12" t="inlineStr">
        <is>
          <t>* sauf si les constituants donnent des chars de compositions élémentaires DIFFÉRENTES (fibres de silice + résine phénolique), ou si le renfort pyrolyse (liège) : le rapport entre alors dans Y_c et/ou Y_g, et la table change. Le bilan de masse de surface est écrit sur des fractions massiques élémentaires, donc normalisées : les grandeurs VOLUMIQUES n'y ont structurellement aucune place.</t>
        </is>
      </c>
    </row>
    <row r="49" ht="18" customHeight="1">
      <c r="A49" s="4" t="inlineStr">
        <is>
          <t>§6 — RECETTE POUR UN NOUVEAU MATÉRIAU</t>
        </is>
      </c>
    </row>
    <row r="50">
      <c r="A50" s="20" t="n">
        <v>1</v>
      </c>
      <c r="B50" s="5" t="inlineStr">
        <is>
          <t>Atmosphère → composition -bl (air, Mars, Titan…).</t>
        </is>
      </c>
    </row>
    <row r="51">
      <c r="A51" s="20" t="n">
        <v>2</v>
      </c>
      <c r="B51" s="5" t="inlineStr">
        <is>
          <t>Résine → composition du gaz de pyrolyse par l'une des quatre routes du §4 → composition -py.</t>
        </is>
      </c>
    </row>
    <row r="52">
      <c r="A52" s="20" t="n">
        <v>3</v>
      </c>
      <c r="B52" s="5" t="inlineStr">
        <is>
          <t>Char → C:1.0 si tous les constituants carbonisent vers le carbone ; sinon pondérer par les masses de char de chaque constituant.</t>
        </is>
      </c>
    </row>
    <row r="53">
      <c r="A53" s="20" t="n">
        <v>4</v>
      </c>
      <c r="B53" s="5" t="inlineStr">
        <is>
          <t>Espèces → tous les produits attendus des éléments présents, PLUS la ou les phases condensées.</t>
        </is>
      </c>
    </row>
    <row r="54">
      <c r="A54" s="20" t="n">
        <v>5</v>
      </c>
      <c r="B54" s="5" t="inlineStr">
        <is>
          <t>Vérifier : checkmix (noms, phases), puis un run court.</t>
        </is>
      </c>
    </row>
    <row r="55">
      <c r="A55" s="20" t="n">
        <v>6</v>
      </c>
      <c r="B55" s="5" t="inlineStr">
        <is>
          <t>Contrôler la physique : à 300 K et B'g = 0 dans l'air, un char carboné doit donner B'c ≈ 0.0874 (limite C + O2 → CO2, indépendante de la pression). Une valeur ≈ 200 signale l'absence de C(gr). Pour un char multi-élément susceptible de laisser un autre solide à la paroi (SiC), suivre le bilan sur N (-char-elem N).</t>
        </is>
      </c>
    </row>
    <row r="57" ht="30" customHeight="1">
      <c r="B57" s="5" t="inlineStr">
        <is>
          <t>Documents de référence du dépôt : tacot_bprime/mise_en_donnees_xml.md (mécanique du fichier XML et règles du parseur) · resine_tacot.md · zuram_bprime/resine_zuram.md · sc1008_bprime/resine_sc1008.md · cork_bprime/mise_en_donnees_cork.md · oak_bprime/mise_en_donnees_chene.md · tacot_bprime/cph70_vs_tacot.md · carbon_bprime/bprime_carbon_physique.md · sic_bprime/README.md · mo_bprime/README.md.</t>
        </is>
      </c>
    </row>
  </sheetData>
  <mergeCells count="22">
    <mergeCell ref="A25:I25"/>
    <mergeCell ref="B7:I7"/>
    <mergeCell ref="B47:I47"/>
    <mergeCell ref="B54:I54"/>
    <mergeCell ref="A3:I3"/>
    <mergeCell ref="B52:I52"/>
    <mergeCell ref="A2:I2"/>
    <mergeCell ref="A5:I5"/>
    <mergeCell ref="A32:I32"/>
    <mergeCell ref="B23:I23"/>
    <mergeCell ref="B57:I57"/>
    <mergeCell ref="B8:I8"/>
    <mergeCell ref="B53:I53"/>
    <mergeCell ref="A10:I10"/>
    <mergeCell ref="A40:I40"/>
    <mergeCell ref="B30:I30"/>
    <mergeCell ref="A49:I49"/>
    <mergeCell ref="B55:I55"/>
    <mergeCell ref="B6:I6"/>
    <mergeCell ref="B51:I51"/>
    <mergeCell ref="A1:I1"/>
    <mergeCell ref="B50:I50"/>
  </mergeCells>
  <pageMargins left="0.75" right="0.75" top="1" bottom="1" header="0.5" footer="0.5"/>
</worksheet>
</file>

<file path=xl/worksheets/sheet2.xml><?xml version="1.0" encoding="utf-8"?>
<worksheet xmlns="http://schemas.openxmlformats.org/spreadsheetml/2006/main">
  <sheetPr>
    <tabColor rgb="00808080"/>
    <outlinePr summaryBelow="1" summaryRight="1"/>
    <pageSetUpPr/>
  </sheetPr>
  <dimension ref="A1:I45"/>
  <sheetViews>
    <sheetView showGridLines="0" workbookViewId="0">
      <pane ySplit="4" topLeftCell="A5" activePane="bottomLeft" state="frozen"/>
      <selection pane="bottomLeft" activeCell="A1" sqref="A1"/>
    </sheetView>
  </sheetViews>
  <sheetFormatPr baseColWidth="8" defaultRowHeight="15"/>
  <cols>
    <col width="4.5" customWidth="1" min="1" max="1"/>
    <col width="34" customWidth="1" min="2" max="2"/>
    <col width="13" customWidth="1" min="3" max="3"/>
    <col width="13" customWidth="1" min="4" max="4"/>
    <col width="13" customWidth="1" min="5" max="5"/>
    <col width="13" customWidth="1" min="6" max="6"/>
    <col width="13" customWidth="1" min="7" max="7"/>
    <col width="13" customWidth="1" min="8" max="8"/>
    <col width="72" customWidth="1" min="9" max="9"/>
  </cols>
  <sheetData>
    <row r="1" ht="26" customHeight="1">
      <c r="A1" s="1" t="inlineStr">
        <is>
          <t>Constantes et conventions communes</t>
        </is>
      </c>
    </row>
    <row r="2" ht="16" customHeight="1">
      <c r="A2" s="2" t="inlineStr">
        <is>
          <t>Masses molaires, air de couche limite, motifs de résine, bilan de masse de surface — référencés par tous les onglets matériaux</t>
        </is>
      </c>
    </row>
    <row r="3">
      <c r="A3" s="3" t="inlineStr">
        <is>
          <t>Fichier(s) XML : toutes les mises en données de data/mixtures/</t>
        </is>
      </c>
    </row>
    <row r="5" ht="18" customHeight="1">
      <c r="A5" s="4" t="inlineStr">
        <is>
          <t>§1 — MASSES MOLAIRES DES ÉLÉMENTS</t>
        </is>
      </c>
    </row>
    <row r="6">
      <c r="B6" s="6" t="inlineStr">
        <is>
          <t>Élément</t>
        </is>
      </c>
      <c r="C6" s="6" t="inlineStr">
        <is>
          <t>M usuelle [g/mol]</t>
        </is>
      </c>
      <c r="D6" s="6" t="inlineStr">
        <is>
          <t>M classeur ZURAM [g/mol]</t>
        </is>
      </c>
      <c r="E6" s="6" t="inlineStr"/>
      <c r="F6" s="6" t="inlineStr"/>
    </row>
    <row r="7">
      <c r="B7" s="7" t="inlineStr">
        <is>
          <t>Carbone      C</t>
        </is>
      </c>
      <c r="C7" s="21" t="n">
        <v>12.011</v>
      </c>
      <c r="D7" s="21" t="n">
        <v>12.0107</v>
      </c>
      <c r="E7" s="15" t="inlineStr"/>
      <c r="F7" s="15" t="inlineStr"/>
    </row>
    <row r="8">
      <c r="B8" s="7" t="inlineStr">
        <is>
          <t>Hydrogène    H</t>
        </is>
      </c>
      <c r="C8" s="22" t="n">
        <v>1.008</v>
      </c>
      <c r="D8" s="22" t="n">
        <v>1.00794</v>
      </c>
      <c r="E8" s="15" t="inlineStr"/>
      <c r="F8" s="15" t="inlineStr"/>
    </row>
    <row r="9">
      <c r="B9" s="7" t="inlineStr">
        <is>
          <t>Oxygène      O</t>
        </is>
      </c>
      <c r="C9" s="21" t="n">
        <v>15.999</v>
      </c>
      <c r="D9" s="21" t="n">
        <v>15.999</v>
      </c>
      <c r="E9" s="15" t="inlineStr"/>
      <c r="F9" s="15" t="inlineStr"/>
    </row>
    <row r="10">
      <c r="B10" s="7" t="inlineStr">
        <is>
          <t>Azote        N</t>
        </is>
      </c>
      <c r="C10" s="21" t="n">
        <v>14.007</v>
      </c>
      <c r="D10" s="11" t="inlineStr">
        <is>
          <t>—</t>
        </is>
      </c>
      <c r="E10" s="15" t="inlineStr"/>
      <c r="F10" s="15" t="inlineStr"/>
    </row>
    <row r="11">
      <c r="B11" s="7" t="inlineStr">
        <is>
          <t>Silicium     Si</t>
        </is>
      </c>
      <c r="C11" s="21" t="n">
        <v>28.0855</v>
      </c>
      <c r="D11" s="11" t="inlineStr">
        <is>
          <t>—</t>
        </is>
      </c>
      <c r="E11" s="15" t="inlineStr"/>
      <c r="F11" s="15" t="inlineStr"/>
    </row>
    <row r="12">
      <c r="B12" s="12" t="inlineStr">
        <is>
          <t>Colonne « usuelle » : valeurs employées par les scripts du dépôt (cork_pyrolysis_data.py). Colonne « classeur ZURAM » : valeurs de Tacot_Zuram_Calcarb_database_v4.3.1.ods, onglet ZURAM_official!F87:F89 — elles seules reproduisent les fractions molaires de ce classeur au 1e-16 près.</t>
        </is>
      </c>
    </row>
    <row r="14" ht="18" customHeight="1">
      <c r="A14" s="4" t="inlineStr">
        <is>
          <t>§2 — BORD DE COUCHE LIMITE : L'AIR (identique dans tous les XML)</t>
        </is>
      </c>
    </row>
    <row r="15">
      <c r="B15" s="6" t="inlineStr">
        <is>
          <t>Air (option -bl)</t>
        </is>
      </c>
      <c r="C15" s="6" t="inlineStr">
        <is>
          <t>N</t>
        </is>
      </c>
      <c r="D15" s="6" t="inlineStr">
        <is>
          <t>O</t>
        </is>
      </c>
      <c r="E15" s="6" t="inlineStr">
        <is>
          <t>Somme</t>
        </is>
      </c>
      <c r="F15" s="6" t="inlineStr"/>
    </row>
    <row r="16">
      <c r="B16" s="7" t="inlineStr">
        <is>
          <t>fraction molaire élémentaire x_E  (XML)</t>
        </is>
      </c>
      <c r="C16" s="23" t="n">
        <v>0.79</v>
      </c>
      <c r="D16" s="23" t="n">
        <v>0.21</v>
      </c>
      <c r="E16" s="24">
        <f>SUM(C16:D16)</f>
        <v>1.0</v>
      </c>
      <c r="F16" s="15" t="inlineStr"/>
    </row>
    <row r="17">
      <c r="B17" s="7" t="inlineStr">
        <is>
          <t>masse molaire M_E [g/mol]</t>
        </is>
      </c>
      <c r="C17" s="25">
        <f>Constantes!$C$10</f>
        <v>14.007</v>
      </c>
      <c r="D17" s="25">
        <f>Constantes!$C$9</f>
        <v>15.999</v>
      </c>
      <c r="E17" s="15" t="inlineStr"/>
      <c r="F17" s="15" t="inlineStr"/>
    </row>
    <row r="18">
      <c r="B18" s="7" t="inlineStr">
        <is>
          <t>x_E · M_E</t>
        </is>
      </c>
      <c r="C18" s="24">
        <f>C16*C17</f>
        <v>11.06553</v>
      </c>
      <c r="D18" s="24">
        <f>D16*D17</f>
        <v>3.35979</v>
      </c>
      <c r="E18" s="24">
        <f>SUM(C18:D18)</f>
        <v>14.425320000000001</v>
      </c>
      <c r="F18" s="15" t="inlineStr"/>
    </row>
    <row r="19">
      <c r="B19" s="7" t="inlineStr">
        <is>
          <t>fraction massique élémentaire y_E</t>
        </is>
      </c>
      <c r="C19" s="26">
        <f>C18/$E$18</f>
        <v>0.7670907820415769</v>
      </c>
      <c r="D19" s="26">
        <f>D18/$E$18</f>
        <v>0.23290921795842306</v>
      </c>
      <c r="E19" s="24">
        <f>SUM(C19:D19)</f>
        <v>1.0</v>
      </c>
      <c r="F19" s="15" t="inlineStr"/>
    </row>
    <row r="20">
      <c r="B20" s="12" t="inlineStr">
        <is>
          <t>y_E = x_E·M_E / Σ x_j·M_j.  Le parseur de Mutation++ normalise seul la somme à 1 et convertit mole ↔ masse (Mixture.cpp:131-138) : `type="mole"` est le défaut, `type="mass"` doit être déclaré explicitement si la source est massique.</t>
        </is>
      </c>
    </row>
    <row r="22" ht="18" customHeight="1">
      <c r="A22" s="4" t="inlineStr">
        <is>
          <t>§3 — MOTIFS DE RÉSINE PHÉNOLIQUE (référence commune TACOT / ZURAM / SC-1008 / liège)</t>
        </is>
      </c>
    </row>
    <row r="23">
      <c r="A23" s="20" t="inlineStr">
        <is>
          <t>&gt;</t>
        </is>
      </c>
      <c r="B23" s="20" t="inlineStr">
        <is>
          <t>Un motif cuit s'écrit C(6+b)H6O : un cycle phénolique et b ponts méthylène –CH2–.</t>
        </is>
      </c>
      <c r="I23" s="27" t="inlineStr">
        <is>
          <t>M = ν_C·M_C + ν_H·M_H + ν_O·M_O ;  w_E = ν_E·M_E / M</t>
        </is>
      </c>
    </row>
    <row r="24">
      <c r="B24" s="6" t="inlineStr">
        <is>
          <t>Motif</t>
        </is>
      </c>
      <c r="C24" s="6" t="inlineStr">
        <is>
          <t>ν_C</t>
        </is>
      </c>
      <c r="D24" s="6" t="inlineStr">
        <is>
          <t>ν_H</t>
        </is>
      </c>
      <c r="E24" s="6" t="inlineStr">
        <is>
          <t>ν_O</t>
        </is>
      </c>
      <c r="F24" s="6" t="inlineStr">
        <is>
          <t>% C masse</t>
        </is>
      </c>
      <c r="G24" s="6" t="inlineStr">
        <is>
          <t>% H masse</t>
        </is>
      </c>
      <c r="H24" s="6" t="inlineStr">
        <is>
          <t>% O masse</t>
        </is>
      </c>
    </row>
    <row r="25">
      <c r="B25" s="7" t="inlineStr">
        <is>
          <t>phénol C6H6O (monomère)</t>
        </is>
      </c>
      <c r="C25" s="28" t="n">
        <v>6</v>
      </c>
      <c r="D25" s="28" t="n">
        <v>6</v>
      </c>
      <c r="E25" s="28" t="n">
        <v>1</v>
      </c>
      <c r="F25" s="9">
        <f>C25*Constantes!$C$7/(C25*Constantes!$C$7+D25*Constantes!$C$8+E25*Constantes!$C$9)*100</f>
        <v>76.57390583660069</v>
      </c>
      <c r="G25" s="9">
        <f>D25*Constantes!$C$8/(C25*Constantes!$C$7+D25*Constantes!$C$8+E25*Constantes!$C$9)*100</f>
        <v>6.426317299416659</v>
      </c>
      <c r="H25" s="9">
        <f>E25*Constantes!$C$9/(C25*Constantes!$C$7+D25*Constantes!$C$8+E25*Constantes!$C$9)*100</f>
        <v>16.99977686398266</v>
      </c>
      <c r="I25" s="12" t="inlineStr">
        <is>
          <t>TACOT : motif équivalent mesuré (Sykes table II), à 0.85 point près</t>
        </is>
      </c>
    </row>
    <row r="26">
      <c r="B26" s="7" t="inlineStr">
        <is>
          <t>novolac linéaire C7H6O (b = 1)</t>
        </is>
      </c>
      <c r="C26" s="28" t="n">
        <v>7</v>
      </c>
      <c r="D26" s="28" t="n">
        <v>6</v>
      </c>
      <c r="E26" s="28" t="n">
        <v>1</v>
      </c>
      <c r="F26" s="9">
        <f>C26*Constantes!$C$7/(C26*Constantes!$C$7+D26*Constantes!$C$8+E26*Constantes!$C$9)*100</f>
        <v>79.2252459387132</v>
      </c>
      <c r="G26" s="9">
        <f>D26*Constantes!$C$8/(C26*Constantes!$C$7+D26*Constantes!$C$8+E26*Constantes!$C$9)*100</f>
        <v>5.698993630093098</v>
      </c>
      <c r="H26" s="9">
        <f>E26*Constantes!$C$9/(C26*Constantes!$C$7+D26*Constantes!$C$8+E26*Constantes!$C$9)*100</f>
        <v>15.0757604311937</v>
      </c>
      <c r="I26" s="12" t="inlineStr">
        <is>
          <t>ZURAM : motif équivalent mesuré ([THo] fig. 7), à 0.35 point près ; liège : motif retenu pour la résine</t>
        </is>
      </c>
    </row>
    <row r="27">
      <c r="B27" s="7" t="inlineStr">
        <is>
          <t>résol saturé / réticulé C7.5H6O (b = 1.5)</t>
        </is>
      </c>
      <c r="C27" s="28" t="n">
        <v>7.5</v>
      </c>
      <c r="D27" s="28" t="n">
        <v>6</v>
      </c>
      <c r="E27" s="28" t="n">
        <v>1</v>
      </c>
      <c r="F27" s="9">
        <f>C27*Constantes!$C$7/(C27*Constantes!$C$7+D27*Constantes!$C$8+E27*Constantes!$C$9)*100</f>
        <v>80.33791285968455</v>
      </c>
      <c r="G27" s="9">
        <f>D27*Constantes!$C$8/(C27*Constantes!$C$7+D27*Constantes!$C$8+E27*Constantes!$C$9)*100</f>
        <v>5.393763460998221</v>
      </c>
      <c r="H27" s="9">
        <f>E27*Constantes!$C$9/(C27*Constantes!$C$7+D27*Constantes!$C$8+E27*Constantes!$C$9)*100</f>
        <v>14.268323679317218</v>
      </c>
      <c r="I27" s="12" t="inlineStr">
        <is>
          <t>SC-1008 : motif RETENU (résol saturé) — M = 112.13 g/mol</t>
        </is>
      </c>
    </row>
    <row r="28">
      <c r="B28" s="12" t="inlineStr">
        <is>
          <t>Le nombre de ponts b n'est pas un réglage libre : le phénol a 3 sites réactifs (2 ortho + 1 para) et un pont est partagé entre 2 cycles, d'où b ≤ 1.5 à réseau saturé. Novolac (formé en défaut de formaldéhyde, durci à l'hexamine) et résol (excès de formaldéhyde, auto-réticulant) glissent sur la MÊME courbe : seul b diffère. L'analyse élémentaire C/H/O ne permet donc pas de distinguer les deux — seul l'azote le fait.</t>
        </is>
      </c>
    </row>
    <row r="30" ht="18" customHeight="1">
      <c r="A30" s="4" t="inlineStr">
        <is>
          <t>§4 — LE BILAN QUI CONSOMME CES COMPOSITIONS (rappel)</t>
        </is>
      </c>
    </row>
    <row r="31" ht="16" customHeight="1">
      <c r="B31" s="5" t="inlineStr">
        <is>
          <t>Bilan de conservation de chaque élément i à la paroi, couche limite laminaire à nombre de Lewis unité :</t>
        </is>
      </c>
    </row>
    <row r="32">
      <c r="B32" s="29" t="inlineStr">
        <is>
          <t xml:space="preserve">   (1 + B'c + B'g) · Y_w,i  =  Y_e,i  +  B'c · Y_c,i  +  B'g · Y_g,i</t>
        </is>
      </c>
    </row>
    <row r="33">
      <c r="B33" s="29" t="inlineStr"/>
    </row>
    <row r="34">
      <c r="B34" s="29" t="inlineStr">
        <is>
          <t xml:space="preserve">   =&gt;   B'c = [ Y_e,i + B'g·Y_g,i − Y_w,i·(1 + B'g) ] / ( Y_w,i − Y_c,i )</t>
        </is>
      </c>
    </row>
    <row r="35" ht="30" customHeight="1">
      <c r="B35" s="5" t="inlineStr">
        <is>
          <t>Y_e = bord de couche limite (option -bl) · Y_g = gaz de pyrolyse (-py) · Y_c = char (-char, avec -char-elem) · Y_w = gaz à la paroi, calculé à l'équilibre thermochimique à (T_w, P). `bprime` ne consomme QUE ces trois compositions élémentaires, plus T, P et B'g (src/apps/bprime.cpp:304-330).</t>
        </is>
      </c>
    </row>
    <row r="36" ht="30" customHeight="1">
      <c r="B36" s="5" t="inlineStr">
        <is>
          <t>Conséquence majeure : aucune grandeur volumique (masse volumique, porosité, rapport fibres/résine, rendement en char, cinétique) n'entre dans le XML. Toutes vivent dans le solveur de réponse matériau — voir le §7 de chaque onglet.</t>
        </is>
      </c>
    </row>
    <row r="38" ht="18" customHeight="1">
      <c r="A38" s="4" t="inlineStr">
        <is>
          <t>§5 — LÉGENDE DES COULEURS ET MODE D'EMPLOI</t>
        </is>
      </c>
    </row>
    <row r="39">
      <c r="B39" s="30" t="inlineStr">
        <is>
          <t>bleu — donnée d'entrée en dur : mesure, valeur publiée, hypothèse. C'est ici qu'on édite.</t>
        </is>
      </c>
    </row>
    <row r="40">
      <c r="B40" s="31" t="inlineStr">
        <is>
          <t>noir — cellule calculée par formule vivante. Ne pas écraser.</t>
        </is>
      </c>
    </row>
    <row r="41">
      <c r="B41" s="32" t="inlineStr">
        <is>
          <t>vert — lien vers un autre onglet (constantes, ou composition héritée d'un autre matériau).</t>
        </is>
      </c>
    </row>
    <row r="42">
      <c r="B42" s="33" t="inlineStr">
        <is>
          <t>rouge sur fond rosé — la valeur telle qu'elle figure dans le fichier XML du dépôt.</t>
        </is>
      </c>
    </row>
    <row r="43">
      <c r="B43" s="34" t="inlineStr">
        <is>
          <t>fond jaune — hypothèse clé : c'est le paramètre dont dépend le plus le résultat.</t>
        </is>
      </c>
    </row>
    <row r="45" ht="30" customHeight="1">
      <c r="B45" s="5" t="inlineStr">
        <is>
          <t>Chaque onglet matériau suit la même trame : §0 fiche d'identité · §1 hypothèses · §2 données d'entrée · §3 calcul pas à pas · §4 résultat porté dans le XML · §5 contrôles et validation croisée · §6 sensibilité · §7 réponse matériau (hors XML) · §8 bloc XML.</t>
        </is>
      </c>
    </row>
  </sheetData>
  <mergeCells count="24">
    <mergeCell ref="A3:I3"/>
    <mergeCell ref="B31:I31"/>
    <mergeCell ref="B43:I43"/>
    <mergeCell ref="B12:I12"/>
    <mergeCell ref="A2:I2"/>
    <mergeCell ref="B39:I39"/>
    <mergeCell ref="A5:I5"/>
    <mergeCell ref="A14:I14"/>
    <mergeCell ref="B42:I42"/>
    <mergeCell ref="A22:I22"/>
    <mergeCell ref="B32:I32"/>
    <mergeCell ref="A38:I38"/>
    <mergeCell ref="B34:I34"/>
    <mergeCell ref="B28:I28"/>
    <mergeCell ref="A30:I30"/>
    <mergeCell ref="B23:H23"/>
    <mergeCell ref="B40:I40"/>
    <mergeCell ref="B33:I33"/>
    <mergeCell ref="B20:I20"/>
    <mergeCell ref="A1:I1"/>
    <mergeCell ref="B36:I36"/>
    <mergeCell ref="B45:I45"/>
    <mergeCell ref="B41:I41"/>
    <mergeCell ref="B35:I35"/>
  </mergeCells>
  <pageMargins left="0.75" right="0.75" top="1" bottom="1" header="0.5" footer="0.5"/>
</worksheet>
</file>

<file path=xl/worksheets/sheet3.xml><?xml version="1.0" encoding="utf-8"?>
<worksheet xmlns="http://schemas.openxmlformats.org/spreadsheetml/2006/main">
  <sheetPr>
    <tabColor rgb="00C00000"/>
    <outlinePr summaryBelow="1" summaryRight="1"/>
    <pageSetUpPr/>
  </sheetPr>
  <dimension ref="A1:I119"/>
  <sheetViews>
    <sheetView showGridLines="0" workbookViewId="0">
      <pane ySplit="4" topLeftCell="A5" activePane="bottomLeft" state="frozen"/>
      <selection pane="bottomLeft" activeCell="A1" sqref="A1"/>
    </sheetView>
  </sheetViews>
  <sheetFormatPr baseColWidth="8" defaultRowHeight="15"/>
  <cols>
    <col width="4.5" customWidth="1" min="1" max="1"/>
    <col width="34" customWidth="1" min="2" max="2"/>
    <col width="13" customWidth="1" min="3" max="3"/>
    <col width="13" customWidth="1" min="4" max="4"/>
    <col width="13" customWidth="1" min="5" max="5"/>
    <col width="13" customWidth="1" min="6" max="6"/>
    <col width="13" customWidth="1" min="7" max="7"/>
    <col width="13" customWidth="1" min="8" max="8"/>
    <col width="72" customWidth="1" min="9" max="9"/>
  </cols>
  <sheetData>
    <row r="1" ht="26" customHeight="1">
      <c r="A1" s="1" t="inlineStr">
        <is>
          <t>TACOT — Theoretical Ablative Composite for Open Testing</t>
        </is>
      </c>
    </row>
    <row r="2" ht="16" customHeight="1">
      <c r="A2" s="2" t="inlineStr">
        <is>
          <t>Carbone/phénolique poreux · gaz de pyrolyse obtenu par SOMMATION ATOMIQUE d'une spéciation moléculaire mesurée</t>
        </is>
      </c>
    </row>
    <row r="3">
      <c r="A3" s="3" t="inlineStr">
        <is>
          <t>Fichier(s) XML : data/mixtures/tacot-air_25.xml · tacot-air_35.xml · tacot-pyrogas.xml</t>
        </is>
      </c>
    </row>
    <row r="5" ht="18" customHeight="1">
      <c r="A5" s="4" t="inlineStr">
        <is>
          <t>§0 — FICHE D'IDENTITÉ</t>
        </is>
      </c>
    </row>
    <row r="6">
      <c r="B6" s="35" t="inlineStr">
        <is>
          <t>Matériau</t>
        </is>
      </c>
      <c r="C6" s="30" t="inlineStr">
        <is>
          <t>TACOT 3.0 (matériau de référence ouvert)</t>
        </is>
      </c>
      <c r="I6" s="12" t="inlineStr">
        <is>
          <t>Classeur TACOT_3.0.xls, onglet Description</t>
        </is>
      </c>
    </row>
    <row r="7">
      <c r="B7" s="35" t="inlineStr">
        <is>
          <t>Renfort</t>
        </is>
      </c>
      <c r="C7" s="30" t="inlineStr">
        <is>
          <t>fibres de carbone ex-cellulose, traitées à 2000 K, 1600 kg/m³</t>
        </is>
      </c>
      <c r="I7" s="12" t="inlineStr">
        <is>
          <t>Description!A11 — « The carbon fibers do not pyrolyse » ('Pyrolysis model'!H20)</t>
        </is>
      </c>
    </row>
    <row r="8">
      <c r="B8" s="35" t="inlineStr">
        <is>
          <t>Résine</t>
        </is>
      </c>
      <c r="C8" s="30" t="inlineStr">
        <is>
          <t>novolac phénol-formaldéhyde Union Carbide BRP 5549 + hexamine (HMTA), 1200 kg/m³</t>
        </is>
      </c>
      <c r="I8" s="12" t="inlineStr">
        <is>
          <t>Sykes, NASA TN D-3810 (1967), § MATERIAL p. 2 ; Description!A12</t>
        </is>
      </c>
    </row>
    <row r="9">
      <c r="B9" s="35" t="inlineStr">
        <is>
          <t>Microstructure</t>
        </is>
      </c>
      <c r="C9" s="30" t="inlineStr">
        <is>
          <t>ε_fibres 0.10 / ε_matrice 0.10 / porosité 0.80</t>
        </is>
      </c>
      <c r="I9" s="12" t="inlineStr">
        <is>
          <t>Description!A15:A17</t>
        </is>
      </c>
    </row>
    <row r="10">
      <c r="B10" s="35" t="inlineStr">
        <is>
          <t>Source primaire du gaz</t>
        </is>
      </c>
      <c r="C10" s="30" t="inlineStr">
        <is>
          <t>Sykes, table I (chromatographie, paliers de 50 °C entre 100 et 1000 °C)</t>
        </is>
      </c>
      <c r="I10" s="12" t="inlineStr">
        <is>
          <t>reprise dans 'Pyrolysis-gas chemistry'!B5:H5 puis 'Pyrolysis model'!B4:B6</t>
        </is>
      </c>
    </row>
    <row r="11">
      <c r="B11" s="35" t="inlineStr">
        <is>
          <t>Compositions du XML</t>
        </is>
      </c>
      <c r="C11" s="30" t="inlineStr">
        <is>
          <t>air (-bl) · tacot_pyro (-py) · tacot_char (-char, -char-elem C)</t>
        </is>
      </c>
      <c r="I11" s="12" t="inlineStr">
        <is>
          <t>tacot_bprime/resine_tacot.md et mise_en_donnees_xml.md</t>
        </is>
      </c>
    </row>
    <row r="13" ht="18" customHeight="1">
      <c r="A13" s="4" t="inlineStr">
        <is>
          <t>§1 — HYPOTHÈSES</t>
        </is>
      </c>
    </row>
    <row r="14" ht="26" customHeight="1">
      <c r="A14" s="20" t="inlineStr">
        <is>
          <t>H1</t>
        </is>
      </c>
      <c r="B14" s="5" t="inlineStr">
        <is>
          <t>Le gaz de pyrolyse est produit par la RÉSINE SEULE.</t>
        </is>
      </c>
      <c r="I14" s="12" t="inlineStr">
        <is>
          <t>Les fibres ex-cellulose sont déjà traitées à 2000 K : elles ne pyrolysent pas ('Pyrolysis model'!H20). Le rapport fibres/résine ne fixe donc que la QUANTITÉ de gaz (donc B'g), pas sa composition — cf. onglet CPh70.</t>
        </is>
      </c>
    </row>
    <row r="15" ht="26" customHeight="1">
      <c r="A15" s="20" t="inlineStr">
        <is>
          <t>H2</t>
        </is>
      </c>
      <c r="B15" s="5" t="inlineStr">
        <is>
          <t>La spéciation retenue est la somme RÉELLE des colonnes de la table I de Sykes (100.30), pas les totaux imprimés arrondis (100.0).</t>
        </is>
      </c>
      <c r="I15" s="12" t="inlineStr">
        <is>
          <t>C'est ce choix, et lui seul, qui permet de reproduire le classeur TACOT 3.0 au 1e-16 près (§5).</t>
        </is>
      </c>
    </row>
    <row r="16" ht="26" customHeight="1">
      <c r="A16" s="20" t="inlineStr">
        <is>
          <t>H3</t>
        </is>
      </c>
      <c r="B16" s="5" t="inlineStr">
        <is>
          <t>Réduction du modèle : toluène C7H8 → benzène C6H6, et 2,4-xylénol C8H10O → phénol C6H5OH.</t>
        </is>
      </c>
      <c r="I16" s="12" t="inlineStr">
        <is>
          <t>'Pyrolysis-gas chemistry'!A8 : compatibilité avec le mécanisme cinétique d'April (10 réactions), qui ignore toluène et xylénol. Conservative en atomes à ~1 % près (C7H8→C6H6 perd un CH2).</t>
        </is>
      </c>
    </row>
    <row r="17" ht="26" customHeight="1">
      <c r="A17" s="20" t="inlineStr">
        <is>
          <t>H4</t>
        </is>
      </c>
      <c r="B17" s="5" t="inlineStr">
        <is>
          <t>Le gaz est déclaré SANS AZOTE.</t>
        </is>
      </c>
      <c r="I17" s="12" t="inlineStr">
        <is>
          <t>Les 2.35 % de N de la résine viennent de la HMTA prémélangée ; ils s'effondrent à 0.42 % dès 400 °C et à zéro à 500 °C (Sykes table II) : signature d'un composé piégé, pas d'un azote de structure.</t>
        </is>
      </c>
    </row>
    <row r="18" ht="26" customHeight="1">
      <c r="A18" s="20" t="inlineStr">
        <is>
          <t>H5</t>
        </is>
      </c>
      <c r="B18" s="5" t="inlineStr">
        <is>
          <t>Le char est du carbone pur : C:1.0.</t>
        </is>
      </c>
      <c r="I18" s="12" t="inlineStr">
        <is>
          <t>Sykes mesure pourtant C 92.65 / H 0.90 / O 6.45 % à 850 °C. L'hypothèse reste licite en ablation : la paroi dépasse 2000 K (l'oxygène résiduel part en CO bien avant) et les fibres, 57 % de la masse vierge, sont déjà du carbone pur.</t>
        </is>
      </c>
    </row>
    <row r="19" ht="26" customHeight="1">
      <c r="A19" s="20" t="inlineStr">
        <is>
          <t>H6</t>
        </is>
      </c>
      <c r="B19" s="5" t="inlineStr">
        <is>
          <t>Le gaz à la paroi est à l'équilibre thermochimique à (T_w, P).</t>
        </is>
      </c>
      <c r="I19" s="12" t="inlineStr">
        <is>
          <t>Hypothèse centrale de la table B'. Le solveur multiphase de Mutation++ traite la coexistence gaz / C(gr).</t>
        </is>
      </c>
    </row>
    <row r="20" ht="26" customHeight="1">
      <c r="A20" s="20" t="inlineStr">
        <is>
          <t>H7</t>
        </is>
      </c>
      <c r="B20" s="5" t="inlineStr">
        <is>
          <t>Liste d'espèces = les 25 espèces gazeuses de la table B' de référence, PLUS la phase condensée C(gr).</t>
        </is>
      </c>
      <c r="I20" s="12" t="inlineStr">
        <is>
          <t>Sans C(gr) l'excès de carbone ne peut pas se condenser : Y_w,C → 1 et B'c sature vers ≈ 200 au lieu de ≈ 0.087 à 300 K. La liste conditionne le résultat : 25 espèces donnent 0.43 % d'écart moyen contre la table de référence, 35 espèces 2.41 %.</t>
        </is>
      </c>
    </row>
    <row r="22" ht="18" customHeight="1">
      <c r="A22" s="4" t="inlineStr">
        <is>
          <t>§2 — DONNÉES D'ENTRÉE</t>
        </is>
      </c>
    </row>
    <row r="23">
      <c r="A23" s="20" t="inlineStr">
        <is>
          <t>&gt;</t>
        </is>
      </c>
      <c r="B23" s="20" t="inlineStr">
        <is>
          <t>Table I de Sykes — distribution des produits de décomposition, en % des moles totales observées</t>
        </is>
      </c>
      <c r="I23" s="27" t="inlineStr">
        <is>
          <t>somme sur les 19 paliers de température</t>
        </is>
      </c>
    </row>
    <row r="24">
      <c r="B24" s="6" t="inlineStr">
        <is>
          <t>Espèce (table I)</t>
        </is>
      </c>
      <c r="C24" s="6" t="inlineStr">
        <is>
          <t>Σ colonne (réelle)</t>
        </is>
      </c>
      <c r="D24" s="6" t="inlineStr">
        <is>
          <t>total imprimé</t>
        </is>
      </c>
      <c r="E24" s="6" t="inlineStr">
        <is>
          <t>après réduction H3</t>
        </is>
      </c>
      <c r="F24" s="6" t="inlineStr"/>
      <c r="G24" s="6" t="inlineStr"/>
      <c r="H24" s="6" t="inlineStr"/>
    </row>
    <row r="25">
      <c r="B25" s="7" t="inlineStr">
        <is>
          <t>CO2</t>
        </is>
      </c>
      <c r="C25" s="36" t="n">
        <v>1.57</v>
      </c>
      <c r="D25" s="36" t="n">
        <v>1.6</v>
      </c>
      <c r="E25" s="11" t="inlineStr">
        <is>
          <t>CO2</t>
        </is>
      </c>
      <c r="F25" s="15" t="inlineStr"/>
      <c r="G25" s="15" t="inlineStr"/>
      <c r="H25" s="15" t="inlineStr"/>
    </row>
    <row r="26">
      <c r="B26" s="7" t="inlineStr">
        <is>
          <t>CO</t>
        </is>
      </c>
      <c r="C26" s="36" t="n">
        <v>5.78</v>
      </c>
      <c r="D26" s="36" t="n">
        <v>5.5</v>
      </c>
      <c r="E26" s="11" t="inlineStr">
        <is>
          <t>CO</t>
        </is>
      </c>
      <c r="F26" s="15" t="inlineStr"/>
      <c r="G26" s="15" t="inlineStr"/>
      <c r="H26" s="15" t="inlineStr"/>
    </row>
    <row r="27">
      <c r="B27" s="7" t="inlineStr">
        <is>
          <t>C6H6  benzène</t>
        </is>
      </c>
      <c r="C27" s="36" t="n">
        <v>0.17</v>
      </c>
      <c r="D27" s="36" t="n">
        <v>0.2</v>
      </c>
      <c r="E27" s="11" t="inlineStr">
        <is>
          <t>C6H6</t>
        </is>
      </c>
      <c r="F27" s="15" t="inlineStr"/>
      <c r="G27" s="15" t="inlineStr"/>
      <c r="H27" s="15" t="inlineStr"/>
    </row>
    <row r="28">
      <c r="B28" s="7" t="inlineStr">
        <is>
          <t>C7H8  toluène</t>
        </is>
      </c>
      <c r="C28" s="36" t="n">
        <v>0.31</v>
      </c>
      <c r="D28" s="36" t="n">
        <v>0.3</v>
      </c>
      <c r="E28" s="11" t="inlineStr">
        <is>
          <t>→ C6H6</t>
        </is>
      </c>
      <c r="F28" s="15" t="inlineStr"/>
      <c r="G28" s="15" t="inlineStr"/>
      <c r="H28" s="15" t="inlineStr"/>
    </row>
    <row r="29">
      <c r="B29" s="7" t="inlineStr">
        <is>
          <t>C6H5OH  phénol</t>
        </is>
      </c>
      <c r="C29" s="36" t="n">
        <v>7.14</v>
      </c>
      <c r="D29" s="36" t="n">
        <v>7.1</v>
      </c>
      <c r="E29" s="11" t="inlineStr">
        <is>
          <t>C6H5OH</t>
        </is>
      </c>
      <c r="F29" s="15" t="inlineStr"/>
      <c r="G29" s="15" t="inlineStr"/>
      <c r="H29" s="15" t="inlineStr"/>
    </row>
    <row r="30">
      <c r="B30" s="7" t="inlineStr">
        <is>
          <t>(CH3)2C6H3OH  xylénol</t>
        </is>
      </c>
      <c r="C30" s="36" t="n">
        <v>1.8</v>
      </c>
      <c r="D30" s="36" t="n">
        <v>1.8</v>
      </c>
      <c r="E30" s="11" t="inlineStr">
        <is>
          <t>→ C6H5OH</t>
        </is>
      </c>
      <c r="F30" s="15" t="inlineStr"/>
      <c r="G30" s="15" t="inlineStr"/>
      <c r="H30" s="15" t="inlineStr"/>
    </row>
    <row r="31">
      <c r="B31" s="7" t="inlineStr">
        <is>
          <t>CH4</t>
        </is>
      </c>
      <c r="C31" s="36" t="n">
        <v>10.03</v>
      </c>
      <c r="D31" s="36" t="n">
        <v>10</v>
      </c>
      <c r="E31" s="11" t="inlineStr">
        <is>
          <t>CH4</t>
        </is>
      </c>
      <c r="F31" s="15" t="inlineStr"/>
      <c r="G31" s="15" t="inlineStr"/>
      <c r="H31" s="15" t="inlineStr"/>
    </row>
    <row r="32">
      <c r="B32" s="7" t="inlineStr">
        <is>
          <t>H2O</t>
        </is>
      </c>
      <c r="C32" s="36" t="n">
        <v>23.43</v>
      </c>
      <c r="D32" s="36" t="n">
        <v>23.4</v>
      </c>
      <c r="E32" s="11" t="inlineStr">
        <is>
          <t>H2O</t>
        </is>
      </c>
      <c r="F32" s="15" t="inlineStr"/>
      <c r="G32" s="15" t="inlineStr"/>
      <c r="H32" s="15" t="inlineStr"/>
    </row>
    <row r="33">
      <c r="B33" s="7" t="inlineStr">
        <is>
          <t>H2</t>
        </is>
      </c>
      <c r="C33" s="36" t="n">
        <v>50.07</v>
      </c>
      <c r="D33" s="36" t="n">
        <v>50.1</v>
      </c>
      <c r="E33" s="11" t="inlineStr">
        <is>
          <t>H2</t>
        </is>
      </c>
      <c r="F33" s="15" t="inlineStr"/>
      <c r="G33" s="15" t="inlineStr"/>
      <c r="H33" s="15" t="inlineStr"/>
    </row>
    <row r="34">
      <c r="B34" s="13" t="inlineStr">
        <is>
          <t>SOMME</t>
        </is>
      </c>
      <c r="C34" s="9">
        <f>SUM(C25:C33)</f>
        <v>100.3</v>
      </c>
      <c r="D34" s="9">
        <f>SUM(D25:D33)</f>
        <v>100.0</v>
      </c>
      <c r="E34" s="11" t="inlineStr">
        <is>
          <t>← 100.30 contre 100.0 : voir H2</t>
        </is>
      </c>
      <c r="F34" s="15" t="inlineStr"/>
      <c r="G34" s="15" t="inlineStr"/>
      <c r="H34" s="15" t="inlineStr"/>
    </row>
    <row r="35">
      <c r="B35" s="12" t="inlineStr">
        <is>
          <t>Les totaux imprimés au bas de la table de Sykes sont arrondis et somment à 100.0 ; les colonnes elles-mêmes somment à 100.30. C'est cette dernière valeur que le classeur TACOT 3.0 utilise pour renormaliser.</t>
        </is>
      </c>
    </row>
    <row r="37">
      <c r="B37" s="35" t="inlineStr">
        <is>
          <t>Analyse élémentaire de la résine vierge — C [% masse]</t>
        </is>
      </c>
      <c r="C37" s="30" t="n">
        <v>75.59999999999999</v>
      </c>
      <c r="I37" s="12" t="inlineStr">
        <is>
          <t>Sykes, table II, ligne « ambiant ». L'analyse ne dose que C, H et N ; O est le complément à 100 % (cendres mesurées à 0.04 %, négligeables).</t>
        </is>
      </c>
    </row>
    <row r="38">
      <c r="B38" s="35" t="inlineStr">
        <is>
          <t xml:space="preserve">                                        H [% masse]</t>
        </is>
      </c>
      <c r="C38" s="30" t="n">
        <v>6.12</v>
      </c>
      <c r="I38" s="12" t="inlineStr"/>
    </row>
    <row r="39">
      <c r="B39" s="35" t="inlineStr">
        <is>
          <t xml:space="preserve">                                        N [% masse]</t>
        </is>
      </c>
      <c r="C39" s="30" t="n">
        <v>2.35</v>
      </c>
      <c r="I39" s="12" t="inlineStr">
        <is>
          <t>issu de la HMTA — retiré du gaz, cf. H4</t>
        </is>
      </c>
    </row>
    <row r="40">
      <c r="B40" s="35" t="inlineStr">
        <is>
          <t xml:space="preserve">                                        O [% masse]</t>
        </is>
      </c>
      <c r="C40" s="30" t="n">
        <v>15.93</v>
      </c>
      <c r="I40" s="12" t="inlineStr">
        <is>
          <t>complément à 100 %</t>
        </is>
      </c>
    </row>
    <row r="41">
      <c r="B41" s="35" t="inlineStr">
        <is>
          <t>Rendement en char de la résine — mesuré</t>
        </is>
      </c>
      <c r="C41" s="37" t="n">
        <v>0.54</v>
      </c>
      <c r="I41" s="12" t="inlineStr">
        <is>
          <t>Sykes table II : fraction massique résiduelle à 850 °C</t>
        </is>
      </c>
    </row>
    <row r="42">
      <c r="B42" s="35" t="inlineStr">
        <is>
          <t>Rendement en char de la résine — modèle TACOT</t>
        </is>
      </c>
      <c r="C42" s="37" t="n">
        <v>0.5</v>
      </c>
      <c r="I42" s="12" t="inlineStr">
        <is>
          <t>implicite : microstructure ('Pyrolysis model'!A32:A34) ET cinétique de Goldstein (B18:C19) donnent 0.50 toutes deux</t>
        </is>
      </c>
    </row>
    <row r="43">
      <c r="B43" s="35" t="inlineStr">
        <is>
          <t>ρ fibres / ρ résine [kg/m³]</t>
        </is>
      </c>
      <c r="C43" s="30" t="n">
        <v>1600</v>
      </c>
      <c r="I43" s="12" t="inlineStr">
        <is>
          <t>Description!A11</t>
        </is>
      </c>
    </row>
    <row r="44">
      <c r="B44" s="35" t="inlineStr"/>
      <c r="C44" s="30" t="n">
        <v>1200</v>
      </c>
      <c r="I44" s="12" t="inlineStr">
        <is>
          <t>Description!A12</t>
        </is>
      </c>
    </row>
    <row r="45">
      <c r="B45" s="35" t="inlineStr">
        <is>
          <t>ε_fibres / ε_matrice [-]</t>
        </is>
      </c>
      <c r="C45" s="30" t="n">
        <v>0.1</v>
      </c>
      <c r="I45" s="12" t="inlineStr">
        <is>
          <t>Description!A15:A17 (porosité 0.80)</t>
        </is>
      </c>
    </row>
    <row r="46">
      <c r="B46" s="35" t="inlineStr"/>
      <c r="C46" s="30" t="n">
        <v>0.1</v>
      </c>
      <c r="I46" s="12" t="inlineStr"/>
    </row>
    <row r="48" ht="18" customHeight="1">
      <c r="A48" s="4" t="inlineStr">
        <is>
          <t>§3 — CALCUL PAS À PAS</t>
        </is>
      </c>
    </row>
    <row r="49">
      <c r="A49" s="20" t="inlineStr">
        <is>
          <t>&gt;</t>
        </is>
      </c>
      <c r="B49" s="20" t="inlineStr">
        <is>
          <t>Étape 1 — regrouper les 9 espèces de Sykes en 7 (réduction H3), puis renormaliser par la somme réelle</t>
        </is>
      </c>
      <c r="I49" s="27" t="inlineStr">
        <is>
          <t>x_j = n_j / Σ n_j     avec Σ n_j = 100.30</t>
        </is>
      </c>
    </row>
    <row r="50">
      <c r="B50" s="6" t="inlineStr">
        <is>
          <t>Espèce du modèle</t>
        </is>
      </c>
      <c r="C50" s="6" t="inlineStr">
        <is>
          <t>moles brutes</t>
        </is>
      </c>
      <c r="D50" s="6" t="inlineStr">
        <is>
          <t>x_j calculé</t>
        </is>
      </c>
      <c r="E50" s="6" t="inlineStr">
        <is>
          <t>classeur TACOT 3.0</t>
        </is>
      </c>
      <c r="F50" s="6" t="inlineStr">
        <is>
          <t>ν_C</t>
        </is>
      </c>
      <c r="G50" s="6" t="inlineStr">
        <is>
          <t>ν_H</t>
        </is>
      </c>
      <c r="H50" s="6" t="inlineStr">
        <is>
          <t>ν_O</t>
        </is>
      </c>
    </row>
    <row r="51">
      <c r="B51" s="7" t="inlineStr">
        <is>
          <t>CO2</t>
        </is>
      </c>
      <c r="C51" s="9">
        <f>C25</f>
        <v>1.57</v>
      </c>
      <c r="D51" s="38">
        <f>C51/$C$34</f>
        <v>0.015653040877367897</v>
      </c>
      <c r="E51" s="39" t="n">
        <v>0.0156530408773679</v>
      </c>
      <c r="F51" s="40" t="n">
        <v>1</v>
      </c>
      <c r="G51" s="40" t="n">
        <v>0</v>
      </c>
      <c r="H51" s="40" t="n">
        <v>2</v>
      </c>
    </row>
    <row r="52">
      <c r="B52" s="7" t="inlineStr">
        <is>
          <t>CO</t>
        </is>
      </c>
      <c r="C52" s="9">
        <f>C26</f>
        <v>5.78</v>
      </c>
      <c r="D52" s="38">
        <f>C52/$C$34</f>
        <v>0.057627118644067804</v>
      </c>
      <c r="E52" s="39" t="n">
        <v>0.0576271186440678</v>
      </c>
      <c r="F52" s="40" t="n">
        <v>1</v>
      </c>
      <c r="G52" s="40" t="n">
        <v>0</v>
      </c>
      <c r="H52" s="40" t="n">
        <v>1</v>
      </c>
    </row>
    <row r="53">
      <c r="B53" s="7" t="inlineStr">
        <is>
          <t>C6H6</t>
        </is>
      </c>
      <c r="C53" s="9">
        <f>C27+C28</f>
        <v>0.48</v>
      </c>
      <c r="D53" s="38">
        <f>C53/$C$34</f>
        <v>0.004785643070787637</v>
      </c>
      <c r="E53" s="39" t="n">
        <v>0.0047856430707876</v>
      </c>
      <c r="F53" s="40" t="n">
        <v>6</v>
      </c>
      <c r="G53" s="40" t="n">
        <v>6</v>
      </c>
      <c r="H53" s="40" t="n">
        <v>0</v>
      </c>
    </row>
    <row r="54">
      <c r="B54" s="7" t="inlineStr">
        <is>
          <t>C6H5OH</t>
        </is>
      </c>
      <c r="C54" s="9">
        <f>C29+C30</f>
        <v>8.94</v>
      </c>
      <c r="D54" s="38">
        <f>C54/$C$34</f>
        <v>0.08913260219341974</v>
      </c>
      <c r="E54" s="39" t="n">
        <v>0.0891326021934197</v>
      </c>
      <c r="F54" s="40" t="n">
        <v>6</v>
      </c>
      <c r="G54" s="40" t="n">
        <v>6</v>
      </c>
      <c r="H54" s="40" t="n">
        <v>1</v>
      </c>
    </row>
    <row r="55">
      <c r="B55" s="7" t="inlineStr">
        <is>
          <t>CH4</t>
        </is>
      </c>
      <c r="C55" s="9">
        <f>C31</f>
        <v>10.03</v>
      </c>
      <c r="D55" s="38">
        <f>C55/$C$34</f>
        <v>0.09999999999999999</v>
      </c>
      <c r="E55" s="39" t="n">
        <v>0.1</v>
      </c>
      <c r="F55" s="40" t="n">
        <v>1</v>
      </c>
      <c r="G55" s="40" t="n">
        <v>4</v>
      </c>
      <c r="H55" s="40" t="n">
        <v>0</v>
      </c>
    </row>
    <row r="56">
      <c r="B56" s="7" t="inlineStr">
        <is>
          <t>H2O</t>
        </is>
      </c>
      <c r="C56" s="9">
        <f>C32</f>
        <v>23.43</v>
      </c>
      <c r="D56" s="38">
        <f>C56/$C$34</f>
        <v>0.23359920239282153</v>
      </c>
      <c r="E56" s="39" t="n">
        <v>0.233599202392822</v>
      </c>
      <c r="F56" s="40" t="n">
        <v>0</v>
      </c>
      <c r="G56" s="40" t="n">
        <v>2</v>
      </c>
      <c r="H56" s="40" t="n">
        <v>1</v>
      </c>
    </row>
    <row r="57">
      <c r="B57" s="7" t="inlineStr">
        <is>
          <t>H2</t>
        </is>
      </c>
      <c r="C57" s="9">
        <f>C33</f>
        <v>50.07</v>
      </c>
      <c r="D57" s="38">
        <f>C57/$C$34</f>
        <v>0.4992023928215354</v>
      </c>
      <c r="E57" s="39" t="n">
        <v>0.4992023928215351</v>
      </c>
      <c r="F57" s="40" t="n">
        <v>0</v>
      </c>
      <c r="G57" s="40" t="n">
        <v>2</v>
      </c>
      <c r="H57" s="40" t="n">
        <v>0</v>
      </c>
    </row>
    <row r="58">
      <c r="B58" s="13" t="inlineStr">
        <is>
          <t>SOMME</t>
        </is>
      </c>
      <c r="C58" s="9">
        <f>SUM(C51:C57)</f>
        <v>100.3</v>
      </c>
      <c r="D58" s="24">
        <f>SUM(D51:D57)</f>
        <v>1.0</v>
      </c>
      <c r="E58" s="24">
        <f>SUM(E51:E57)</f>
        <v>1.000000000000001</v>
      </c>
      <c r="F58" s="15" t="inlineStr"/>
      <c r="G58" s="15" t="inlineStr"/>
      <c r="H58" s="15" t="inlineStr"/>
    </row>
    <row r="59">
      <c r="B59" s="35" t="inlineStr">
        <is>
          <t>écart maximal au classeur, espèce par espèce</t>
        </is>
      </c>
      <c r="C59" s="41">
        <f>MAX(ABS(D51-E51),ABS(D52-E52),ABS(D53-E53),ABS(D54-E54),ABS(D55-E55),ABS(D56-E56),ABS(D57-E57))</f>
        <v>4.718447854656915e-16</v>
      </c>
      <c r="I59" s="12" t="inlineStr">
        <is>
          <t>Colonne « classeur TACOT 3.0 » : 'Pyrolysis-gas chemistry'!B5:H5. Attendu ~5e-16, la précision de la double précision : la chaîne Sykes → classeur est entièrement élucidée.</t>
        </is>
      </c>
    </row>
    <row r="61">
      <c r="A61" s="20" t="inlineStr">
        <is>
          <t>&gt;</t>
        </is>
      </c>
      <c r="B61" s="20" t="inlineStr">
        <is>
          <t>Étape 2 — sommation atomique : passer du moléculaire à l'élémentaire</t>
        </is>
      </c>
      <c r="I61" s="27" t="inlineStr">
        <is>
          <t>n_E = Σ_j ν_E,j · x_j   (SOMMEPROD)</t>
        </is>
      </c>
    </row>
    <row r="62">
      <c r="B62" s="6" t="inlineStr">
        <is>
          <t>Moles d'atomes par mole de gaz</t>
        </is>
      </c>
      <c r="C62" s="6" t="inlineStr">
        <is>
          <t>C</t>
        </is>
      </c>
      <c r="D62" s="6" t="inlineStr">
        <is>
          <t>H</t>
        </is>
      </c>
      <c r="E62" s="6" t="inlineStr">
        <is>
          <t>O</t>
        </is>
      </c>
      <c r="F62" s="6" t="inlineStr">
        <is>
          <t>Somme</t>
        </is>
      </c>
      <c r="G62" s="6" t="inlineStr"/>
      <c r="H62" s="6" t="inlineStr"/>
    </row>
    <row r="63">
      <c r="B63" s="7" t="inlineStr">
        <is>
          <t>n_E = Σ_j ν_E,j · x_j</t>
        </is>
      </c>
      <c r="C63" s="26">
        <f>SUMPRODUCT($D$51:$D$57,F51:F57)</f>
        <v>0.7367896311066799</v>
      </c>
      <c r="D63" s="26">
        <f>SUMPRODUCT($D$51:$D$57,G51:G57)</f>
        <v>2.4291126620139583</v>
      </c>
      <c r="E63" s="26">
        <f>SUMPRODUCT($D$51:$D$57,H51:H57)</f>
        <v>0.4116650049850449</v>
      </c>
      <c r="F63" s="26">
        <f>SUM(C63:E63)</f>
        <v>3.577567298105683</v>
      </c>
      <c r="G63" s="15" t="inlineStr"/>
      <c r="H63" s="15" t="inlineStr"/>
    </row>
    <row r="64">
      <c r="A64" s="20" t="inlineStr">
        <is>
          <t>&gt;</t>
        </is>
      </c>
      <c r="B64" s="20" t="inlineStr">
        <is>
          <t>Étape 3 — normaliser en fractions molaires élémentaires, puis convertir en fractions massiques</t>
        </is>
      </c>
      <c r="I64" s="27" t="inlineStr">
        <is>
          <t>x_E = n_E / Σ n_j ;  M_gaz = Σ x_E·M_E ;  y_E = x_E·M_E / M_gaz</t>
        </is>
      </c>
    </row>
    <row r="65">
      <c r="B65" s="6" t="inlineStr"/>
      <c r="C65" s="6" t="inlineStr">
        <is>
          <t>C</t>
        </is>
      </c>
      <c r="D65" s="6" t="inlineStr">
        <is>
          <t>H</t>
        </is>
      </c>
      <c r="E65" s="6" t="inlineStr">
        <is>
          <t>O</t>
        </is>
      </c>
      <c r="F65" s="6" t="inlineStr">
        <is>
          <t>Somme</t>
        </is>
      </c>
      <c r="G65" s="6" t="inlineStr">
        <is>
          <t>M_gaz [g/mol]</t>
        </is>
      </c>
      <c r="H65" s="6" t="inlineStr"/>
    </row>
    <row r="66">
      <c r="B66" s="7" t="inlineStr">
        <is>
          <t>x_E (fraction molaire élémentaire)</t>
        </is>
      </c>
      <c r="C66" s="26">
        <f>C63/$F$63</f>
        <v>0.20594710587186132</v>
      </c>
      <c r="D66" s="26">
        <f>D63/$F$63</f>
        <v>0.6789844773290974</v>
      </c>
      <c r="E66" s="26">
        <f>E63/$F$63</f>
        <v>0.11506841679904133</v>
      </c>
      <c r="F66" s="24">
        <f>SUM(C66:E66)</f>
        <v>1.0</v>
      </c>
      <c r="G66" s="24">
        <f>C66*Constantes!$C$7+D66*Constantes!$C$8+E66*Constantes!$C$9</f>
        <v>4.9990266421425185</v>
      </c>
      <c r="H66" s="15" t="inlineStr"/>
    </row>
    <row r="67">
      <c r="B67" s="7" t="inlineStr">
        <is>
          <t>y_E (fraction massique élémentaire)</t>
        </is>
      </c>
      <c r="C67" s="26">
        <f>C66*Constantes!$C$7/$G$66</f>
        <v>0.49482246559237375</v>
      </c>
      <c r="D67" s="26">
        <f>D66*Constantes!$C$8/$G$66</f>
        <v>0.13690992309942923</v>
      </c>
      <c r="E67" s="26">
        <f>E66*Constantes!$C$9/$G$66</f>
        <v>0.368267611308197</v>
      </c>
      <c r="F67" s="24">
        <f>SUM(C67:E67)</f>
        <v>1.0</v>
      </c>
      <c r="G67" s="15" t="inlineStr"/>
      <c r="H67" s="15" t="inlineStr"/>
    </row>
    <row r="68">
      <c r="B68" s="12" t="inlineStr">
        <is>
          <t>M_gaz ≈ 5.0 g/mol : un gaz très léger, dominé par H2 (50 % des moles). En masse le gaz est pourtant à ~49 % de carbone.</t>
        </is>
      </c>
    </row>
    <row r="70" ht="18" customHeight="1">
      <c r="A70" s="4" t="inlineStr">
        <is>
          <t>§4 — RÉSULTAT : CE QUI ENTRE DANS LE XML</t>
        </is>
      </c>
    </row>
    <row r="71">
      <c r="B71" s="6" t="inlineStr">
        <is>
          <t>Composition élémentaire (fractions molaires)</t>
        </is>
      </c>
      <c r="C71" s="6" t="inlineStr">
        <is>
          <t>C</t>
        </is>
      </c>
      <c r="D71" s="6" t="inlineStr">
        <is>
          <t>H</t>
        </is>
      </c>
      <c r="E71" s="6" t="inlineStr">
        <is>
          <t>O</t>
        </is>
      </c>
      <c r="F71" s="6" t="inlineStr">
        <is>
          <t>Somme</t>
        </is>
      </c>
    </row>
    <row r="72">
      <c r="B72" s="7" t="inlineStr">
        <is>
          <t>calcul — chaîne complète ci-dessus</t>
        </is>
      </c>
      <c r="C72" s="26">
        <f>C66</f>
        <v>0.20594710587186132</v>
      </c>
      <c r="D72" s="26">
        <f>D66</f>
        <v>0.6789844773290974</v>
      </c>
      <c r="E72" s="26">
        <f>E66</f>
        <v>0.11506841679904133</v>
      </c>
      <c r="F72" s="24">
        <f>SUM(C72:E72)</f>
        <v>1.0</v>
      </c>
    </row>
    <row r="73">
      <c r="B73" s="7" t="inlineStr">
        <is>
          <t>valeur portée dans le XML (tacot_pyro)</t>
        </is>
      </c>
      <c r="C73" s="42" t="n">
        <v>0.206</v>
      </c>
      <c r="D73" s="42" t="n">
        <v>0.679</v>
      </c>
      <c r="E73" s="42" t="n">
        <v>0.115</v>
      </c>
      <c r="F73" s="24">
        <f>SUM(C73:E73)</f>
        <v>1.0</v>
      </c>
    </row>
    <row r="74">
      <c r="B74" s="7" t="inlineStr">
        <is>
          <t>écart relatif |calcul − XML| / XML</t>
        </is>
      </c>
      <c r="C74" s="43">
        <f>ABS(C72-C73)/C73</f>
        <v>0.00025676761232361226</v>
      </c>
      <c r="D74" s="43">
        <f>ABS(D72-D73)/D73</f>
        <v>2.286107643984801e-05</v>
      </c>
      <c r="E74" s="43">
        <f>ABS(E72-E73)/E73</f>
        <v>0.000594928687315834</v>
      </c>
      <c r="F74" s="15" t="inlineStr"/>
    </row>
    <row r="75">
      <c r="B75" s="12" t="inlineStr">
        <is>
          <t>L'écart est celui de l'arrondi à trois décimales opéré en 'Pyrolysis model'!B4:B6. Mutation++ normalise la somme à 1 : porter C:0.7368, H:2.4291, O:0.4117 (les moles brutes) donnerait rigoureusement le même mélange.</t>
        </is>
      </c>
    </row>
    <row r="77">
      <c r="B77" s="6" t="inlineStr">
        <is>
          <t>Char (tacot_char)</t>
        </is>
      </c>
      <c r="C77" s="6" t="inlineStr">
        <is>
          <t>C</t>
        </is>
      </c>
      <c r="D77" s="6" t="inlineStr">
        <is>
          <t>H</t>
        </is>
      </c>
      <c r="E77" s="6" t="inlineStr">
        <is>
          <t>O</t>
        </is>
      </c>
      <c r="F77" s="6" t="inlineStr"/>
      <c r="G77" s="6" t="inlineStr"/>
      <c r="H77" s="6" t="inlineStr"/>
    </row>
    <row r="78">
      <c r="B78" s="7" t="inlineStr">
        <is>
          <t>composition du XML</t>
        </is>
      </c>
      <c r="C78" s="44" t="n">
        <v>1</v>
      </c>
      <c r="D78" s="11" t="inlineStr">
        <is>
          <t>—</t>
        </is>
      </c>
      <c r="E78" s="11" t="inlineStr">
        <is>
          <t>—</t>
        </is>
      </c>
      <c r="F78" s="15" t="inlineStr"/>
      <c r="G78" s="15" t="inlineStr"/>
      <c r="H78" s="15" t="inlineStr"/>
    </row>
    <row r="79">
      <c r="B79" s="12" t="inlineStr">
        <is>
          <t>Fibres de carbone et résine carbonisée donnent toutes deux du carbone pur : C:1.0 quel que soit le rapport fibres/résine (cf. H5). Option `-char-elem C`.</t>
        </is>
      </c>
    </row>
    <row r="81" ht="18" customHeight="1">
      <c r="A81" s="4" t="inlineStr">
        <is>
          <t>§5 — CONTRÔLES ET VALIDATION CROISÉE</t>
        </is>
      </c>
    </row>
    <row r="82">
      <c r="A82" s="20" t="inlineStr">
        <is>
          <t>&gt;</t>
        </is>
      </c>
      <c r="B82" s="20" t="inlineStr">
        <is>
          <t>Contrôle A — reproduction du classeur TACOT 3.0 : écart maximal sur les 7 fractions molaires</t>
        </is>
      </c>
      <c r="I82" s="27" t="inlineStr">
        <is>
          <t>cf. colonne F de l'étape 1</t>
        </is>
      </c>
    </row>
    <row r="83">
      <c r="B83" s="35" t="inlineStr">
        <is>
          <t>écart maximal espèce par espèce</t>
        </is>
      </c>
      <c r="C83" s="41">
        <f>C59</f>
        <v>4.718447854656915e-16</v>
      </c>
      <c r="I83" s="12" t="inlineStr">
        <is>
          <t>reporté de l'étape 1 — attendu ≈ 5e-16 (double précision)</t>
        </is>
      </c>
    </row>
    <row r="84">
      <c r="A84" s="20" t="inlineStr">
        <is>
          <t>&gt;</t>
        </is>
      </c>
      <c r="B84" s="20" t="inlineStr">
        <is>
          <t>Contrôle B — fermeture inverse INDÉPENDANTE : partir de la résine mesurée (table II), retrancher un char de carbone pur, comparer au gaz de la table I</t>
        </is>
      </c>
      <c r="I84" s="27" t="inlineStr">
        <is>
          <t>n_E(gaz) = n_E(résine) − n_E(char) ;  n_C(char) = Y·100 / M_C</t>
        </is>
      </c>
    </row>
    <row r="85">
      <c r="B85" s="6" t="inlineStr">
        <is>
          <t>Base 100 g de résine vierge</t>
        </is>
      </c>
      <c r="C85" s="6" t="inlineStr">
        <is>
          <t>C</t>
        </is>
      </c>
      <c r="D85" s="6" t="inlineStr">
        <is>
          <t>H</t>
        </is>
      </c>
      <c r="E85" s="6" t="inlineStr">
        <is>
          <t>O</t>
        </is>
      </c>
      <c r="F85" s="6" t="inlineStr">
        <is>
          <t>Somme</t>
        </is>
      </c>
      <c r="G85" s="6" t="inlineStr">
        <is>
          <t>écart max / table I</t>
        </is>
      </c>
      <c r="H85" s="6" t="inlineStr"/>
    </row>
    <row r="86">
      <c r="B86" s="7" t="inlineStr">
        <is>
          <t>moles d'atomes de la résine (table II)</t>
        </is>
      </c>
      <c r="C86" s="26">
        <f>C37/Constantes!$C$7</f>
        <v>6.29423028890184</v>
      </c>
      <c r="D86" s="26">
        <f>C38/Constantes!$C$8</f>
        <v>6.071428571428571</v>
      </c>
      <c r="E86" s="26">
        <f>C40/Constantes!$C$9</f>
        <v>0.9956872304519032</v>
      </c>
      <c r="F86" s="26">
        <f>SUM(C86:E86)</f>
        <v>13.361346090782314</v>
      </c>
      <c r="G86" s="15" t="inlineStr"/>
      <c r="H86" s="15" t="inlineStr"/>
    </row>
    <row r="87">
      <c r="B87" s="7" t="inlineStr">
        <is>
          <t>char retranché, Y = 0.540 (mesuré)</t>
        </is>
      </c>
      <c r="C87" s="26">
        <f>$C$41*100/Constantes!$C$7</f>
        <v>4.495878777787029</v>
      </c>
      <c r="D87" s="26" t="n">
        <v>0</v>
      </c>
      <c r="E87" s="26" t="n">
        <v>0</v>
      </c>
      <c r="F87" s="15" t="inlineStr"/>
      <c r="G87" s="15" t="inlineStr"/>
      <c r="H87" s="15" t="inlineStr"/>
    </row>
    <row r="88">
      <c r="B88" s="7" t="inlineStr">
        <is>
          <t>gaz obtenu — x_E</t>
        </is>
      </c>
      <c r="C88" s="26">
        <f>(C86-C87)/($F$86-$C$87)</f>
        <v>0.20284903746458238</v>
      </c>
      <c r="D88" s="26">
        <f>(D86-D87)/($F$86-$C$87)</f>
        <v>0.6848402184652891</v>
      </c>
      <c r="E88" s="26">
        <f>(E86-E87)/($F$86-$C$87)</f>
        <v>0.11231074407012849</v>
      </c>
      <c r="F88" s="24">
        <f>SUM(C88:E88)</f>
        <v>1.0</v>
      </c>
      <c r="G88" s="43">
        <f>MAX(ABS(C88-C72)/C72,ABS(D88-D72)/D72,ABS(E88-E72)/E72)</f>
        <v>0.0239655050936254</v>
      </c>
      <c r="H88" s="15" t="inlineStr"/>
    </row>
    <row r="89">
      <c r="B89" s="12" t="inlineStr">
        <is>
          <t>Accord à 2.4 % entre DEUX TECHNIQUES EXPÉRIMENTALES INDÉPENDANTES : analyse élémentaire du résidu (DTA, table II) d'un côté, chromatographie des effluents (table I) de l'autre. C'est la validation la plus forte de la cohérence interne de Sykes — et, accessoirement, du fait que le char soit assimilable à du carbone pur.</t>
        </is>
      </c>
    </row>
    <row r="91" ht="18" customHeight="1">
      <c r="A91" s="4" t="inlineStr">
        <is>
          <t>§6 — SENSIBILITÉ AU RENDEMENT EN CHAR</t>
        </is>
      </c>
    </row>
    <row r="92">
      <c r="B92" s="6" t="inlineStr">
        <is>
          <t>Rendement en char Y</t>
        </is>
      </c>
      <c r="C92" s="6" t="inlineStr">
        <is>
          <t>C</t>
        </is>
      </c>
      <c r="D92" s="6" t="inlineStr">
        <is>
          <t>H</t>
        </is>
      </c>
      <c r="E92" s="6" t="inlineStr">
        <is>
          <t>O</t>
        </is>
      </c>
      <c r="F92" s="6" t="inlineStr">
        <is>
          <t>écart max / table I</t>
        </is>
      </c>
      <c r="G92" s="6" t="inlineStr">
        <is>
          <t>origine de la valeur</t>
        </is>
      </c>
      <c r="H92" s="6" t="inlineStr"/>
    </row>
    <row r="93">
      <c r="B93" s="28" t="n">
        <v>0.5</v>
      </c>
      <c r="C93" s="26">
        <f>(($C$86-B93*100/Constantes!$C$7))/($F$86-B93*100/Constantes!$C$7)</f>
        <v>0.2317095875852489</v>
      </c>
      <c r="D93" s="26">
        <f>$D$86/($F$86-B93*100/Constantes!$C$7)</f>
        <v>0.6600458364992917</v>
      </c>
      <c r="E93" s="26">
        <f>$E$86/($F$86-B93*100/Constantes!$C$7)</f>
        <v>0.10824457591545944</v>
      </c>
      <c r="F93" s="43">
        <f>MAX(ABS(C93-$C$72)/$C$72,ABS(D93-$D$72)/$D$72,ABS(E93-$E$72)/$E$72)</f>
        <v>0.12509271059830668</v>
      </c>
      <c r="G93" s="11" t="inlineStr">
        <is>
          <t>modèle TACOT : microstructure + cinétique de Goldstein</t>
        </is>
      </c>
      <c r="H93" s="15" t="inlineStr"/>
    </row>
    <row r="94">
      <c r="B94" s="28" t="n">
        <v>0.534</v>
      </c>
      <c r="C94" s="26">
        <f>(($C$86-B94*100/Constantes!$C$7))/($F$86-B94*100/Constantes!$C$7)</f>
        <v>0.2073155728275019</v>
      </c>
      <c r="D94" s="26">
        <f>$D$86/($F$86-B94*100/Constantes!$C$7)</f>
        <v>0.6810029740818718</v>
      </c>
      <c r="E94" s="26">
        <f>$E$86/($F$86-B94*100/Constantes!$C$7)</f>
        <v>0.1116814530906263</v>
      </c>
      <c r="F94" s="43">
        <f>MAX(ABS(C94-$C$72)/$C$72,ABS(D94-$D$72)/$D$72,ABS(E94-$E$72)/$E$72)</f>
        <v>0.02943434699662302</v>
      </c>
      <c r="G94" s="11" t="inlineStr">
        <is>
          <t>ajustement optimal (moindre écart)</t>
        </is>
      </c>
      <c r="H94" s="15" t="inlineStr"/>
    </row>
    <row r="95">
      <c r="B95" s="28" t="n">
        <v>0.54</v>
      </c>
      <c r="C95" s="26">
        <f>(($C$86-B95*100/Constantes!$C$7))/($F$86-B95*100/Constantes!$C$7)</f>
        <v>0.20284903746458238</v>
      </c>
      <c r="D95" s="26">
        <f>$D$86/($F$86-B95*100/Constantes!$C$7)</f>
        <v>0.6848402184652891</v>
      </c>
      <c r="E95" s="26">
        <f>$E$86/($F$86-B95*100/Constantes!$C$7)</f>
        <v>0.11231074407012849</v>
      </c>
      <c r="F95" s="43">
        <f>MAX(ABS(C95-$C$72)/$C$72,ABS(D95-$D$72)/$D$72,ABS(E95-$E$72)/$E$72)</f>
        <v>0.0239655050936254</v>
      </c>
      <c r="G95" s="11" t="inlineStr">
        <is>
          <t>Sykes table II — mesuré à 850 °C</t>
        </is>
      </c>
      <c r="H95" s="15" t="inlineStr"/>
    </row>
    <row r="96">
      <c r="B96" s="12" t="inlineStr">
        <is>
          <t>Le rendement en char n'entre PAS dans le calcul du gaz du XML : celui-ci vient directement de la table I. Ce tableau ne sert qu'au contrôle croisé — et il montre que le 0.50 du modèle TACOT est une valeur arrondie pour produire des densités rondes (280/220 kg/m³), pas la mesure (0.540).</t>
        </is>
      </c>
    </row>
    <row r="98" ht="18" customHeight="1">
      <c r="A98" s="4" t="inlineStr">
        <is>
          <t>§7 — RÉPONSE MATÉRIAU (n'entre PAS dans le XML)</t>
        </is>
      </c>
    </row>
    <row r="99">
      <c r="A99" s="20" t="inlineStr">
        <is>
          <t>&gt;</t>
        </is>
      </c>
      <c r="B99" s="20" t="inlineStr">
        <is>
          <t>Bilan de phase solide et couplage en ablation stationnaire</t>
        </is>
      </c>
      <c r="I99" s="27" t="inlineStr">
        <is>
          <t>ρ_v = ε_f·ρ_f + ε_m·ρ_m ;  ρ_c = ε_f·ρ_f + Y·ε_m·ρ_m ;  k = B'g/B'c = (ρ_v − ρ_c)/ρ_c</t>
        </is>
      </c>
    </row>
    <row r="100">
      <c r="B100" s="35" t="inlineStr">
        <is>
          <t>ρ vierge [kg/m³]</t>
        </is>
      </c>
      <c r="C100" s="45">
        <f>$C$45*$C$43+$C$46*$C$44</f>
        <v>280.0</v>
      </c>
      <c r="I100" s="12" t="inlineStr">
        <is>
          <t>'Pyrolysis model'!A32 — attendu 280</t>
        </is>
      </c>
    </row>
    <row r="101">
      <c r="B101" s="35" t="inlineStr">
        <is>
          <t>ρ char [kg/m³]</t>
        </is>
      </c>
      <c r="C101" s="45">
        <f>$C$45*$C$43+$C$42*$C$46*$C$44</f>
        <v>220.0</v>
      </c>
      <c r="I101" s="12" t="inlineStr">
        <is>
          <t>'Pyrolysis model'!A33 — attendu 220 (avec Y = 0.50 du modèle)</t>
        </is>
      </c>
    </row>
    <row r="102">
      <c r="B102" s="35" t="inlineStr">
        <is>
          <t>gaz de pyrolyse libéré [kg/m³]</t>
        </is>
      </c>
      <c r="C102" s="45">
        <f>C100-C101</f>
        <v>60.0</v>
      </c>
      <c r="I102" s="12" t="inlineStr">
        <is>
          <t>soit 21.4 % de la masse vierge</t>
        </is>
      </c>
    </row>
    <row r="103">
      <c r="B103" s="35" t="inlineStr">
        <is>
          <t>couplage k = B'g / B'c</t>
        </is>
      </c>
      <c r="C103" s="46">
        <f>(C100-C101)/C101</f>
        <v>0.2727272727272727</v>
      </c>
      <c r="I103" s="12" t="inlineStr">
        <is>
          <t>point de fonctionnement stationnaire : B'c = B'c_table(T, P, B'g = k·B'c)</t>
        </is>
      </c>
    </row>
    <row r="104">
      <c r="B104" s="12" t="inlineStr">
        <is>
          <t>k est la SEULE façon dont la microstructure entre dans le résultat final : elle ne change pas la table B'c(T, P, B'g), elle change l'endroit où le matériau la lit. Voir l'onglet CPh70, qui partage la table du TACOT mais pas son k.</t>
        </is>
      </c>
    </row>
    <row r="106" ht="18" customHeight="1">
      <c r="A106" s="4" t="inlineStr">
        <is>
          <t>§8 — BLOC XML</t>
        </is>
      </c>
    </row>
    <row r="107">
      <c r="B107" s="29" t="inlineStr">
        <is>
          <t>&lt;mixture thermo_db="NASA-9"&gt;</t>
        </is>
      </c>
    </row>
    <row r="108">
      <c r="B108" s="29" t="inlineStr">
        <is>
          <t xml:space="preserve">    &lt;species&gt;</t>
        </is>
      </c>
    </row>
    <row r="109">
      <c r="B109" s="29" t="inlineStr">
        <is>
          <t xml:space="preserve">       C H O N CH4 CN CO CO2 C2 C2H C2H2,acetylene C3 C4 C4H2,butadiyne C5</t>
        </is>
      </c>
    </row>
    <row r="110">
      <c r="B110" s="29" t="inlineStr">
        <is>
          <t xml:space="preserve">       HCN H2 H2O N2 CH2OH CNN CNC CNCOCN C6H6 HNC C(gr)</t>
        </is>
      </c>
    </row>
    <row r="111">
      <c r="B111" s="29" t="inlineStr">
        <is>
          <t xml:space="preserve">    &lt;/species&gt;</t>
        </is>
      </c>
    </row>
    <row r="112">
      <c r="B112" s="29" t="inlineStr">
        <is>
          <t xml:space="preserve">    &lt;element_compositions default="air"&gt;</t>
        </is>
      </c>
    </row>
    <row r="113">
      <c r="B113" s="29" t="inlineStr">
        <is>
          <t xml:space="preserve">        &lt;composition name="air"&gt;N:0.79, O:0.21&lt;/composition&gt;</t>
        </is>
      </c>
    </row>
    <row r="114">
      <c r="B114" s="29" t="inlineStr">
        <is>
          <t xml:space="preserve">        &lt;composition name="tacot_pyro"&gt;C:0.206, H:0.679, O:0.115&lt;/composition&gt;</t>
        </is>
      </c>
    </row>
    <row r="115">
      <c r="B115" s="29" t="inlineStr">
        <is>
          <t xml:space="preserve">        &lt;composition name="tacot_char"&gt;C:1.0&lt;/composition&gt;</t>
        </is>
      </c>
    </row>
    <row r="116">
      <c r="B116" s="29" t="inlineStr">
        <is>
          <t xml:space="preserve">    &lt;/element_compositions&gt;</t>
        </is>
      </c>
    </row>
    <row r="117">
      <c r="B117" s="29" t="inlineStr">
        <is>
          <t>&lt;/mixture&gt;</t>
        </is>
      </c>
    </row>
    <row r="119" ht="16" customHeight="1">
      <c r="B119" s="5" t="inlineStr">
        <is>
          <t>bprime -T 300:25:4000 -P 101325 -b 0.5 -m tacot-air_25 -bl air -py tacot_pyro -char tacot_char -char-elem C</t>
        </is>
      </c>
    </row>
  </sheetData>
  <mergeCells count="45">
    <mergeCell ref="B99:H99"/>
    <mergeCell ref="B84:H84"/>
    <mergeCell ref="B75:I75"/>
    <mergeCell ref="B109:I109"/>
    <mergeCell ref="B49:H49"/>
    <mergeCell ref="B115:I115"/>
    <mergeCell ref="B64:H64"/>
    <mergeCell ref="A3:I3"/>
    <mergeCell ref="B15:H15"/>
    <mergeCell ref="B20:H20"/>
    <mergeCell ref="B96:I96"/>
    <mergeCell ref="A2:I2"/>
    <mergeCell ref="A5:I5"/>
    <mergeCell ref="B117:I117"/>
    <mergeCell ref="B111:I111"/>
    <mergeCell ref="B107:I107"/>
    <mergeCell ref="B16:H16"/>
    <mergeCell ref="A106:I106"/>
    <mergeCell ref="A22:I22"/>
    <mergeCell ref="A91:I91"/>
    <mergeCell ref="B119:I119"/>
    <mergeCell ref="A81:I81"/>
    <mergeCell ref="B116:I116"/>
    <mergeCell ref="B18:H18"/>
    <mergeCell ref="A13:I13"/>
    <mergeCell ref="B112:I112"/>
    <mergeCell ref="B108:I108"/>
    <mergeCell ref="A48:I48"/>
    <mergeCell ref="B61:H61"/>
    <mergeCell ref="B23:H23"/>
    <mergeCell ref="B14:H14"/>
    <mergeCell ref="A98:I98"/>
    <mergeCell ref="B68:I68"/>
    <mergeCell ref="B17:H17"/>
    <mergeCell ref="B82:H82"/>
    <mergeCell ref="A1:I1"/>
    <mergeCell ref="B89:I89"/>
    <mergeCell ref="A70:I70"/>
    <mergeCell ref="B104:I104"/>
    <mergeCell ref="B114:I114"/>
    <mergeCell ref="B110:I110"/>
    <mergeCell ref="B79:I79"/>
    <mergeCell ref="B19:H19"/>
    <mergeCell ref="B35:I35"/>
    <mergeCell ref="B113:I113"/>
  </mergeCells>
  <pageMargins left="0.75" right="0.75" top="1" bottom="1" header="0.5" footer="0.5"/>
</worksheet>
</file>

<file path=xl/worksheets/sheet4.xml><?xml version="1.0" encoding="utf-8"?>
<worksheet xmlns="http://schemas.openxmlformats.org/spreadsheetml/2006/main">
  <sheetPr>
    <tabColor rgb="00ED7D31"/>
    <outlinePr summaryBelow="1" summaryRight="1"/>
    <pageSetUpPr/>
  </sheetPr>
  <dimension ref="A1:I91"/>
  <sheetViews>
    <sheetView showGridLines="0" workbookViewId="0">
      <pane ySplit="4" topLeftCell="A5" activePane="bottomLeft" state="frozen"/>
      <selection pane="bottomLeft" activeCell="A1" sqref="A1"/>
    </sheetView>
  </sheetViews>
  <sheetFormatPr baseColWidth="8" defaultRowHeight="15"/>
  <cols>
    <col width="4.5" customWidth="1" min="1" max="1"/>
    <col width="34" customWidth="1" min="2" max="2"/>
    <col width="13" customWidth="1" min="3" max="3"/>
    <col width="13" customWidth="1" min="4" max="4"/>
    <col width="13" customWidth="1" min="5" max="5"/>
    <col width="13" customWidth="1" min="6" max="6"/>
    <col width="13" customWidth="1" min="7" max="7"/>
    <col width="13" customWidth="1" min="8" max="8"/>
    <col width="72" customWidth="1" min="9" max="9"/>
  </cols>
  <sheetData>
    <row r="1" ht="26" customHeight="1">
      <c r="A1" s="1" t="inlineStr">
        <is>
          <t>CPh70 — carbone/phénolique dense</t>
        </is>
      </c>
    </row>
    <row r="2" ht="16" customHeight="1">
      <c r="A2" s="2" t="inlineStr">
        <is>
          <t>Mêmes fibres et même résine que le TACOT, autres proportions · démontre que le rapport fibres/résine N'ENTRE PAS dans le XML</t>
        </is>
      </c>
    </row>
    <row r="3">
      <c r="A3" s="3" t="inlineStr">
        <is>
          <t>Fichier(s) XML : data/mixtures/cph70-air_25.xml</t>
        </is>
      </c>
    </row>
    <row r="5" ht="18" customHeight="1">
      <c r="A5" s="4" t="inlineStr">
        <is>
          <t>§0 — FICHE D'IDENTITÉ</t>
        </is>
      </c>
    </row>
    <row r="6">
      <c r="B6" s="35" t="inlineStr">
        <is>
          <t>Matériau</t>
        </is>
      </c>
      <c r="C6" s="30" t="inlineStr">
        <is>
          <t>CPh70 — composite carbone/phénolique dense</t>
        </is>
      </c>
      <c r="I6" s="12" t="inlineStr">
        <is>
          <t>70 % fibres / 30 % résine en volume solide, porosité 0.01</t>
        </is>
      </c>
    </row>
    <row r="7">
      <c r="B7" s="35" t="inlineStr">
        <is>
          <t>Renfort</t>
        </is>
      </c>
      <c r="C7" s="30" t="inlineStr">
        <is>
          <t>fibres de carbone ex-cellulose, 1600 kg/m³ — IDENTIQUES au TACOT</t>
        </is>
      </c>
      <c r="I7" s="12" t="inlineStr">
        <is>
          <t>cf. onglet TACOT §0</t>
        </is>
      </c>
    </row>
    <row r="8">
      <c r="B8" s="35" t="inlineStr">
        <is>
          <t>Résine</t>
        </is>
      </c>
      <c r="C8" s="30" t="inlineStr">
        <is>
          <t>novolac/formaldéhyde, 1200 kg/m³ — IDENTIQUE au TACOT</t>
        </is>
      </c>
      <c r="I8" s="12" t="inlineStr">
        <is>
          <t>cf. onglet TACOT §0</t>
        </is>
      </c>
    </row>
    <row r="9">
      <c r="B9" s="35" t="inlineStr">
        <is>
          <t>Source du gaz</t>
        </is>
      </c>
      <c r="C9" s="30" t="inlineStr">
        <is>
          <t>héritée du TACOT (résine inchangée)</t>
        </is>
      </c>
      <c r="I9" s="12" t="inlineStr">
        <is>
          <t>tacot_bprime/cph70_vs_tacot.md</t>
        </is>
      </c>
    </row>
    <row r="10">
      <c r="B10" s="35" t="inlineStr">
        <is>
          <t>Compositions du XML</t>
        </is>
      </c>
      <c r="C10" s="30" t="inlineStr">
        <is>
          <t>air (-bl) · cph70_pyro (-py) · cph70_char (-char, -char-elem C)</t>
        </is>
      </c>
      <c r="I10" s="12" t="inlineStr">
        <is>
          <t>cph70_bprime/README.md</t>
        </is>
      </c>
    </row>
    <row r="12" ht="18" customHeight="1">
      <c r="A12" s="4" t="inlineStr">
        <is>
          <t>§1 — HYPOTHÈSES</t>
        </is>
      </c>
    </row>
    <row r="13" ht="26" customHeight="1">
      <c r="A13" s="20" t="inlineStr">
        <is>
          <t>H1</t>
        </is>
      </c>
      <c r="B13" s="5" t="inlineStr">
        <is>
          <t>Fibres et résine RIGOUREUSEMENT identiques à celles du TACOT ; seuls changent les proportions et la porosité.</t>
        </is>
      </c>
      <c r="I13" s="12" t="inlineStr">
        <is>
          <t>C'est la définition même du cas d'étude. Si la résine ou la nature des fibres changeait, tout le §3 serait à refaire.</t>
        </is>
      </c>
    </row>
    <row r="14" ht="26" customHeight="1">
      <c r="A14" s="20" t="inlineStr">
        <is>
          <t>H2</t>
        </is>
      </c>
      <c r="B14" s="5" t="inlineStr">
        <is>
          <t>Le gaz de pyrolyse est produit par la résine seule ⇒ sa composition ÉLÉMENTAIRE est inchangée.</t>
        </is>
      </c>
      <c r="I14" s="12" t="inlineStr">
        <is>
          <t>Changer le rapport fibres/résine change la QUANTITÉ de gaz produite (donc B'g), pas sa composition. Or B'g est un paramètre d'ENTRÉE de la table, balayé de 0 à 10.</t>
        </is>
      </c>
    </row>
    <row r="15" ht="26" customHeight="1">
      <c r="A15" s="20" t="inlineStr">
        <is>
          <t>H3</t>
        </is>
      </c>
      <c r="B15" s="5" t="inlineStr">
        <is>
          <t>Fibres de carbone et résine carbonisée donnent toutes deux du carbone pur ⇒ char C:1.0 quelles que soient les proportions.</t>
        </is>
      </c>
      <c r="I15" s="12" t="inlineStr">
        <is>
          <t>La pondération générale n_E(char) = Σ_i (m_char,i/M_i)·ν_E,i se réduit à C:1.0 dès que tous les constituants carbonisent vers le même élément.</t>
        </is>
      </c>
    </row>
    <row r="16" ht="26" customHeight="1">
      <c r="A16" s="20" t="inlineStr">
        <is>
          <t>H4</t>
        </is>
      </c>
      <c r="B16" s="5" t="inlineStr">
        <is>
          <t>Aucune grandeur volumique n'entre dans le bilan de surface.</t>
        </is>
      </c>
      <c r="I16" s="12" t="inlineStr">
        <is>
          <t>Le bilan est écrit sur des fractions massiques élémentaires, donc normalisées : ni ρ, ni porosité, ni ε_f n'y apparaissent (Constantes §4).</t>
        </is>
      </c>
    </row>
    <row r="17" ht="26" customHeight="1">
      <c r="A17" s="20" t="inlineStr">
        <is>
          <t>H5</t>
        </is>
      </c>
      <c r="B17" s="5" t="inlineStr">
        <is>
          <t>Rendement en char de la résine : 0.50 (valeur du modèle TACOT).</t>
        </is>
      </c>
      <c r="I17" s="12" t="inlineStr">
        <is>
          <t>Elle n'entre pas dans le XML — seulement dans ρ_char, donc dans k (§7).</t>
        </is>
      </c>
    </row>
    <row r="19" ht="18" customHeight="1">
      <c r="A19" s="4" t="inlineStr">
        <is>
          <t>§2 — DONNÉES D'ENTRÉE</t>
        </is>
      </c>
    </row>
    <row r="20">
      <c r="B20" s="35" t="inlineStr">
        <is>
          <t>fraction volumique de fibres dans le SOLIDE</t>
        </is>
      </c>
      <c r="C20" s="37" t="n">
        <v>0.7</v>
      </c>
      <c r="I20" s="12" t="inlineStr">
        <is>
          <t>définition du CPh70</t>
        </is>
      </c>
    </row>
    <row r="21">
      <c r="B21" s="35" t="inlineStr">
        <is>
          <t>fraction volumique de résine dans le SOLIDE</t>
        </is>
      </c>
      <c r="C21" s="37" t="n">
        <v>0.3</v>
      </c>
      <c r="I21" s="12" t="inlineStr">
        <is>
          <t>complément à 1 − 0.70</t>
        </is>
      </c>
    </row>
    <row r="22">
      <c r="B22" s="35" t="inlineStr">
        <is>
          <t>porosité φ</t>
        </is>
      </c>
      <c r="C22" s="37" t="n">
        <v>0.01</v>
      </c>
      <c r="I22" s="12" t="inlineStr">
        <is>
          <t>CPh70 : matériau dense (TACOT : 0.80)</t>
        </is>
      </c>
    </row>
    <row r="23">
      <c r="B23" s="35" t="inlineStr">
        <is>
          <t>ρ intrinsèque fibres [kg/m³]</t>
        </is>
      </c>
      <c r="C23" s="30" t="n">
        <v>1600</v>
      </c>
      <c r="I23" s="12" t="inlineStr">
        <is>
          <t>Description!A11 du classeur TACOT 3.0</t>
        </is>
      </c>
    </row>
    <row r="24">
      <c r="B24" s="35" t="inlineStr">
        <is>
          <t>ρ intrinsèque résine [kg/m³]</t>
        </is>
      </c>
      <c r="C24" s="30" t="n">
        <v>1200</v>
      </c>
      <c r="I24" s="12" t="inlineStr">
        <is>
          <t>Description!A12</t>
        </is>
      </c>
    </row>
    <row r="25">
      <c r="B25" s="35" t="inlineStr">
        <is>
          <t>rendement en char de la résine</t>
        </is>
      </c>
      <c r="C25" s="37" t="n">
        <v>0.5</v>
      </c>
      <c r="I25" s="12" t="inlineStr">
        <is>
          <t>'Pyrolysis model'!A32:A34 et B18:C19</t>
        </is>
      </c>
    </row>
    <row r="27" ht="18" customHeight="1">
      <c r="A27" s="4" t="inlineStr">
        <is>
          <t>§3 — CALCUL PAS À PAS</t>
        </is>
      </c>
    </row>
    <row r="28">
      <c r="A28" s="20" t="inlineStr">
        <is>
          <t>&gt;</t>
        </is>
      </c>
      <c r="B28" s="20" t="inlineStr">
        <is>
          <t>Étape 1 — composition du gaz de pyrolyse : elle est HÉRITÉE, pas recalculée</t>
        </is>
      </c>
      <c r="I28" s="27" t="inlineStr">
        <is>
          <t>Y_g(CPh70) = Y_g(TACOT), par H1 + H2</t>
        </is>
      </c>
    </row>
    <row r="29">
      <c r="B29" s="6" t="inlineStr">
        <is>
          <t>Gaz de pyrolyse</t>
        </is>
      </c>
      <c r="C29" s="6" t="inlineStr">
        <is>
          <t>C</t>
        </is>
      </c>
      <c r="D29" s="6" t="inlineStr">
        <is>
          <t>H</t>
        </is>
      </c>
      <c r="E29" s="6" t="inlineStr">
        <is>
          <t>O</t>
        </is>
      </c>
      <c r="F29" s="6" t="inlineStr">
        <is>
          <t>Somme</t>
        </is>
      </c>
      <c r="G29" s="6" t="inlineStr"/>
      <c r="H29" s="6" t="inlineStr"/>
    </row>
    <row r="30">
      <c r="B30" s="7" t="inlineStr">
        <is>
          <t>reprise de l'onglet TACOT (chaîne complète : Sykes table I)</t>
        </is>
      </c>
      <c r="C30" s="8">
        <f>'TACOT'!C66</f>
        <v>0.20594710587186132</v>
      </c>
      <c r="D30" s="8">
        <f>'TACOT'!D66</f>
        <v>0.6789844773290974</v>
      </c>
      <c r="E30" s="8">
        <f>'TACOT'!E66</f>
        <v>0.11506841679904133</v>
      </c>
      <c r="F30" s="24">
        <f>SUM(C30:E30)</f>
        <v>1.0</v>
      </c>
      <c r="G30" s="15" t="inlineStr"/>
      <c r="H30" s="15" t="inlineStr"/>
    </row>
    <row r="31">
      <c r="B31" s="12" t="inlineStr">
        <is>
          <t>Toute la chaîne de traçabilité du gaz est celle de l'onglet TACOT : table I de Sykes → réduction toluène/xylénol → renormalisation par 100.30 → sommation atomique. Elle n'est PAS refaite ici : la résine est la même, donc le gaz est le même.</t>
        </is>
      </c>
    </row>
    <row r="32">
      <c r="A32" s="20" t="inlineStr">
        <is>
          <t>&gt;</t>
        </is>
      </c>
      <c r="B32" s="20" t="inlineStr">
        <is>
          <t>Étape 2 — char : pondération générale des constituants</t>
        </is>
      </c>
      <c r="I32" s="27" t="inlineStr">
        <is>
          <t>n_E(char) = Σ_i (m_char,i / M_i) · ν_E,i</t>
        </is>
      </c>
    </row>
    <row r="33" ht="30" customHeight="1">
      <c r="B33" s="5" t="inlineStr">
        <is>
          <t>Fibres : carbone pur (ν_C = 1, M = M_C). Résine carbonisée : carbone pur également. La somme pondérée de deux compositions identiques est cette composition, quelles que soient les masses : le char vaut C:1.0 pour TOUT rapport fibres/résine. C'est le point qui rendrait le calcul faux avec des fibres de silice ou un char retenant H/O.</t>
        </is>
      </c>
    </row>
    <row r="34">
      <c r="A34" s="20" t="inlineStr">
        <is>
          <t>&gt;</t>
        </is>
      </c>
      <c r="B34" s="20" t="inlineStr">
        <is>
          <t>Étape 3 — fractions volumiques réelles à partir de la porosité</t>
        </is>
      </c>
      <c r="I34" s="27" t="inlineStr">
        <is>
          <t>ε_i = (1 − φ) · f_i</t>
        </is>
      </c>
    </row>
    <row r="35">
      <c r="B35" s="6" t="inlineStr">
        <is>
          <t>Fractions volumiques</t>
        </is>
      </c>
      <c r="C35" s="6" t="inlineStr">
        <is>
          <t>fibres ε_f</t>
        </is>
      </c>
      <c r="D35" s="6" t="inlineStr">
        <is>
          <t>résine ε_m</t>
        </is>
      </c>
      <c r="E35" s="6" t="inlineStr">
        <is>
          <t>pores φ</t>
        </is>
      </c>
      <c r="F35" s="6" t="inlineStr">
        <is>
          <t>Somme</t>
        </is>
      </c>
      <c r="G35" s="6" t="inlineStr"/>
      <c r="H35" s="6" t="inlineStr"/>
    </row>
    <row r="36">
      <c r="B36" s="7" t="inlineStr">
        <is>
          <t>ε = (1 − φ)·f</t>
        </is>
      </c>
      <c r="C36" s="26">
        <f>(1-$C$22)*$C$20</f>
        <v>0.693</v>
      </c>
      <c r="D36" s="26">
        <f>(1-$C$22)*$C$21</f>
        <v>0.297</v>
      </c>
      <c r="E36" s="26">
        <f>$C$22</f>
        <v>0.01</v>
      </c>
      <c r="F36" s="24">
        <f>SUM(C36:E36)</f>
        <v>1.0</v>
      </c>
      <c r="G36" s="15" t="inlineStr"/>
      <c r="H36" s="15" t="inlineStr"/>
    </row>
    <row r="37">
      <c r="A37" s="20" t="inlineStr">
        <is>
          <t>&gt;</t>
        </is>
      </c>
      <c r="B37" s="20" t="inlineStr">
        <is>
          <t>Étape 4 — bilan de phase solide : masses volumiques et couplage</t>
        </is>
      </c>
      <c r="I37" s="27" t="inlineStr">
        <is>
          <t>ρ_v = ε_f·ρ_f + ε_m·ρ_m ;  ρ_c = ε_f·ρ_f + Y·ε_m·ρ_m</t>
        </is>
      </c>
    </row>
    <row r="38">
      <c r="B38" s="35" t="inlineStr">
        <is>
          <t>ρ vierge [kg/m³]</t>
        </is>
      </c>
      <c r="C38" s="45">
        <f>C36*$C$23+D36*$C$24</f>
        <v>1465.1999999999998</v>
      </c>
      <c r="I38" s="12" t="inlineStr">
        <is>
          <t>attendu 1465.2 (TACOT : 280 — soit 5.2 fois plus dense)</t>
        </is>
      </c>
    </row>
    <row r="39">
      <c r="B39" s="35" t="inlineStr">
        <is>
          <t>ρ char [kg/m³]</t>
        </is>
      </c>
      <c r="C39" s="45">
        <f>C36*$C$23+$C$25*D36*$C$24</f>
        <v>1287.0</v>
      </c>
      <c r="I39" s="12" t="inlineStr">
        <is>
          <t>attendu 1287.0 (TACOT : 220)</t>
        </is>
      </c>
    </row>
    <row r="40">
      <c r="B40" s="35" t="inlineStr">
        <is>
          <t>fibres en % de la masse vierge</t>
        </is>
      </c>
      <c r="C40" s="47">
        <f>C36*$C$23/C38*100</f>
        <v>75.67567567567568</v>
      </c>
      <c r="I40" s="12" t="inlineStr">
        <is>
          <t>attendu 75.7 % (TACOT : 57.1 %) — le CPh70 est un matériau riche en fibres</t>
        </is>
      </c>
    </row>
    <row r="41">
      <c r="B41" s="35" t="inlineStr">
        <is>
          <t>gaz de pyrolyse libéré [kg/m³]</t>
        </is>
      </c>
      <c r="C41" s="45">
        <f>C38-C39</f>
        <v>178.19999999999982</v>
      </c>
      <c r="I41" s="12" t="inlineStr">
        <is>
          <t>attendu 178.2 kg/m³</t>
        </is>
      </c>
    </row>
    <row r="42">
      <c r="B42" s="35" t="inlineStr">
        <is>
          <t>… soit en % de la masse vierge</t>
        </is>
      </c>
      <c r="C42" s="47">
        <f>(C38-C39)/C38*100</f>
        <v>12.162162162162153</v>
      </c>
      <c r="I42" s="12" t="inlineStr">
        <is>
          <t>12.2 % contre 21.4 % pour le TACOT : deux fois moins de gaz par unité de masse</t>
        </is>
      </c>
    </row>
    <row r="43">
      <c r="B43" s="35" t="inlineStr">
        <is>
          <t>couplage k = B'g / B'c = (ρ_v − ρ_c)/ρ_c</t>
        </is>
      </c>
      <c r="C43" s="46">
        <f>(C38-C39)/C39</f>
        <v>0.13846153846153833</v>
      </c>
      <c r="I43" s="12" t="inlineStr">
        <is>
          <t>attendu 0.1385 — la SEULE grandeur qui distingue le CPh70 du TACOT</t>
        </is>
      </c>
    </row>
    <row r="45" ht="18" customHeight="1">
      <c r="A45" s="4" t="inlineStr">
        <is>
          <t>§4 — RÉSULTAT : CE QUI ENTRE DANS LE XML</t>
        </is>
      </c>
    </row>
    <row r="46">
      <c r="B46" s="6" t="inlineStr">
        <is>
          <t>Composition élémentaire (fractions molaires)</t>
        </is>
      </c>
      <c r="C46" s="6" t="inlineStr">
        <is>
          <t>C</t>
        </is>
      </c>
      <c r="D46" s="6" t="inlineStr">
        <is>
          <t>H</t>
        </is>
      </c>
      <c r="E46" s="6" t="inlineStr">
        <is>
          <t>O</t>
        </is>
      </c>
      <c r="F46" s="6" t="inlineStr">
        <is>
          <t>Somme</t>
        </is>
      </c>
    </row>
    <row r="47">
      <c r="B47" s="7" t="inlineStr">
        <is>
          <t>calcul — chaîne complète ci-dessus</t>
        </is>
      </c>
      <c r="C47" s="26">
        <f>C30</f>
        <v>0.20594710587186132</v>
      </c>
      <c r="D47" s="26">
        <f>D30</f>
        <v>0.6789844773290974</v>
      </c>
      <c r="E47" s="26">
        <f>E30</f>
        <v>0.11506841679904133</v>
      </c>
      <c r="F47" s="24">
        <f>SUM(C47:E47)</f>
        <v>1.0</v>
      </c>
    </row>
    <row r="48">
      <c r="B48" s="7" t="inlineStr">
        <is>
          <t>valeur portée dans le XML (cph70_pyro)</t>
        </is>
      </c>
      <c r="C48" s="42" t="n">
        <v>0.206</v>
      </c>
      <c r="D48" s="42" t="n">
        <v>0.679</v>
      </c>
      <c r="E48" s="42" t="n">
        <v>0.115</v>
      </c>
      <c r="F48" s="24">
        <f>SUM(C48:E48)</f>
        <v>1.0</v>
      </c>
    </row>
    <row r="49">
      <c r="B49" s="7" t="inlineStr">
        <is>
          <t>écart relatif |calcul − XML| / XML</t>
        </is>
      </c>
      <c r="C49" s="43">
        <f>ABS(C47-C48)/C48</f>
        <v>0.00025676761232361226</v>
      </c>
      <c r="D49" s="43">
        <f>ABS(D47-D48)/D48</f>
        <v>2.286107643984801e-05</v>
      </c>
      <c r="E49" s="43">
        <f>ABS(E47-E48)/E48</f>
        <v>0.000594928687315834</v>
      </c>
      <c r="F49" s="15" t="inlineStr"/>
    </row>
    <row r="50">
      <c r="B50" s="6" t="inlineStr">
        <is>
          <t>Char (cph70_char)</t>
        </is>
      </c>
      <c r="C50" s="6" t="inlineStr">
        <is>
          <t>C</t>
        </is>
      </c>
      <c r="D50" s="6" t="inlineStr">
        <is>
          <t>H</t>
        </is>
      </c>
      <c r="E50" s="6" t="inlineStr">
        <is>
          <t>O</t>
        </is>
      </c>
      <c r="F50" s="6" t="inlineStr"/>
      <c r="G50" s="6" t="inlineStr"/>
      <c r="H50" s="6" t="inlineStr"/>
    </row>
    <row r="51">
      <c r="B51" s="7" t="inlineStr">
        <is>
          <t>composition du XML</t>
        </is>
      </c>
      <c r="C51" s="44" t="n">
        <v>1</v>
      </c>
      <c r="D51" s="11" t="inlineStr">
        <is>
          <t>—</t>
        </is>
      </c>
      <c r="E51" s="11" t="inlineStr">
        <is>
          <t>—</t>
        </is>
      </c>
      <c r="F51" s="15" t="inlineStr"/>
      <c r="G51" s="15" t="inlineStr"/>
      <c r="H51" s="15" t="inlineStr"/>
    </row>
    <row r="52">
      <c r="B52" s="12" t="inlineStr">
        <is>
          <t>Le fichier cph70-air_25.xml est donc STRICTEMENT identique à tacot-air_25.xml. Il n'est justifié que par la traçabilité — nommer le matériau. La table B'c(T, P, B'g) et h_w(T, P, B'g) sont rigoureusement les mêmes.</t>
        </is>
      </c>
    </row>
    <row r="54" ht="18" customHeight="1">
      <c r="A54" s="4" t="inlineStr">
        <is>
          <t>§5 — CONTRÔLES ET VALIDATION CROISÉE</t>
        </is>
      </c>
    </row>
    <row r="55">
      <c r="A55" s="20" t="inlineStr">
        <is>
          <t>&gt;</t>
        </is>
      </c>
      <c r="B55" s="20" t="inlineStr">
        <is>
          <t>Contrôle A — écart mesuré entre les tables B' calculées CPh70 et TACOT</t>
        </is>
      </c>
      <c r="I55" s="27" t="inlineStr">
        <is>
          <t>sur B'c(T, B'g) aux 4 pressions</t>
        </is>
      </c>
    </row>
    <row r="56">
      <c r="B56" s="35" t="inlineStr">
        <is>
          <t>écart maximal</t>
        </is>
      </c>
      <c r="C56" s="31" t="inlineStr">
        <is>
          <t>0.000e+00</t>
        </is>
      </c>
      <c r="I56" s="12" t="inlineStr">
        <is>
          <t>vérifié numériquement — cf. tacot_bprime/cph70_vs_tacot.md §1</t>
        </is>
      </c>
    </row>
    <row r="57">
      <c r="A57" s="20" t="inlineStr">
        <is>
          <t>&gt;</t>
        </is>
      </c>
      <c r="B57" s="20" t="inlineStr">
        <is>
          <t>Contrôle B — le B'c RÉELLEMENT atteint diffère, lui : c'est la droite B'g = k·B'c qui change</t>
        </is>
      </c>
      <c r="I57" s="27" t="inlineStr">
        <is>
          <t>point fixe : B'c = B'c_table(T, P, B'g = k·B'c)</t>
        </is>
      </c>
    </row>
    <row r="58">
      <c r="B58" s="6" t="inlineStr">
        <is>
          <t>T [K], 1 atm</t>
        </is>
      </c>
      <c r="C58" s="6" t="inlineStr">
        <is>
          <t>TACOT B'c</t>
        </is>
      </c>
      <c r="D58" s="6" t="inlineStr">
        <is>
          <t>TACOT B'g</t>
        </is>
      </c>
      <c r="E58" s="6" t="inlineStr">
        <is>
          <t>CPh70 B'c</t>
        </is>
      </c>
      <c r="F58" s="6" t="inlineStr">
        <is>
          <t>CPh70 B'g</t>
        </is>
      </c>
      <c r="G58" s="6" t="inlineStr">
        <is>
          <t>écart sur B'c</t>
        </is>
      </c>
      <c r="H58" s="6" t="inlineStr"/>
    </row>
    <row r="59">
      <c r="B59" s="48" t="n">
        <v>1000</v>
      </c>
      <c r="C59" s="22" t="n">
        <v>0.14221</v>
      </c>
      <c r="D59" s="21" t="n">
        <v>0.0388</v>
      </c>
      <c r="E59" s="22" t="n">
        <v>0.14774</v>
      </c>
      <c r="F59" s="21" t="n">
        <v>0.0205</v>
      </c>
      <c r="G59" s="43">
        <f>(E59-C59)/C59</f>
        <v>0.03888615427888339</v>
      </c>
      <c r="H59" s="15" t="inlineStr"/>
    </row>
    <row r="60">
      <c r="B60" s="48" t="n">
        <v>2000</v>
      </c>
      <c r="C60" s="22" t="n">
        <v>0.16684</v>
      </c>
      <c r="D60" s="21" t="n">
        <v>0.0455</v>
      </c>
      <c r="E60" s="22" t="n">
        <v>0.17105</v>
      </c>
      <c r="F60" s="21" t="n">
        <v>0.0237</v>
      </c>
      <c r="G60" s="43">
        <f>(E60-C60)/C60</f>
        <v>0.025233756892831572</v>
      </c>
      <c r="H60" s="15" t="inlineStr"/>
    </row>
    <row r="61">
      <c r="B61" s="48" t="n">
        <v>3000</v>
      </c>
      <c r="C61" s="22" t="n">
        <v>0.18962</v>
      </c>
      <c r="D61" s="21" t="n">
        <v>0.0517</v>
      </c>
      <c r="E61" s="22" t="n">
        <v>0.18564</v>
      </c>
      <c r="F61" s="21" t="n">
        <v>0.0257</v>
      </c>
      <c r="G61" s="43">
        <f>(E61-C61)/C61</f>
        <v>-0.020989347115283257</v>
      </c>
      <c r="H61" s="15" t="inlineStr"/>
    </row>
    <row r="62">
      <c r="B62" s="48" t="n">
        <v>3400</v>
      </c>
      <c r="C62" s="22" t="n">
        <v>0.2409</v>
      </c>
      <c r="D62" s="21" t="n">
        <v>0.06569999999999999</v>
      </c>
      <c r="E62" s="22" t="n">
        <v>0.22659</v>
      </c>
      <c r="F62" s="21" t="n">
        <v>0.0314</v>
      </c>
      <c r="G62" s="43">
        <f>(E62-C62)/C62</f>
        <v>-0.059402241594022374</v>
      </c>
      <c r="H62" s="15" t="inlineStr"/>
    </row>
    <row r="63">
      <c r="B63" s="48" t="n">
        <v>3600</v>
      </c>
      <c r="C63" s="22" t="n">
        <v>0.42054</v>
      </c>
      <c r="D63" s="21" t="n">
        <v>0.1147</v>
      </c>
      <c r="E63" s="22" t="n">
        <v>0.3721</v>
      </c>
      <c r="F63" s="21" t="n">
        <v>0.0515</v>
      </c>
      <c r="G63" s="43">
        <f>(E63-C63)/C63</f>
        <v>-0.11518523802729833</v>
      </c>
      <c r="H63" s="15" t="inlineStr"/>
    </row>
    <row r="64">
      <c r="B64" s="12" t="inlineStr">
        <is>
          <t>Valeurs produites par `python cph70_bprime.py` et `python tacot_bprime/material_response.py`. Sous 3000 K l'écart reste sous ~4 % ; il explose au genou de sublimation, où la courbe B'c(B'g) devient raide. Moins de soufflage pyrolytique ⇒ le char du CPh70 survit à plus haute température.</t>
        </is>
      </c>
    </row>
    <row r="66" ht="18" customHeight="1">
      <c r="A66" s="4" t="inlineStr">
        <is>
          <t>§6 — SENSIBILITÉ AU RAPPORT FIBRES/RÉSINE</t>
        </is>
      </c>
    </row>
    <row r="67">
      <c r="B67" s="6" t="inlineStr">
        <is>
          <t>f_fibres (volume solide)</t>
        </is>
      </c>
      <c r="C67" s="6" t="inlineStr">
        <is>
          <t>ρ_v [kg/m³]</t>
        </is>
      </c>
      <c r="D67" s="6" t="inlineStr">
        <is>
          <t>ρ_c [kg/m³]</t>
        </is>
      </c>
      <c r="E67" s="6" t="inlineStr">
        <is>
          <t>k = B'g/B'c</t>
        </is>
      </c>
      <c r="F67" s="6" t="inlineStr">
        <is>
          <t>gaz de pyrolyse C</t>
        </is>
      </c>
      <c r="G67" s="6" t="inlineStr">
        <is>
          <t>gaz de pyrolyse H</t>
        </is>
      </c>
      <c r="H67" s="6" t="inlineStr">
        <is>
          <t>gaz de pyrolyse O</t>
        </is>
      </c>
    </row>
    <row r="68">
      <c r="B68" s="21" t="n">
        <v>0.1</v>
      </c>
      <c r="C68" s="49">
        <f>(1-$C$22)*(B68*$C$23+(1-B68)*$C$24)</f>
        <v>1227.6</v>
      </c>
      <c r="D68" s="49">
        <f>(1-$C$22)*(B68*$C$23+$C$25*(1-B68)*$C$24)</f>
        <v>693.0</v>
      </c>
      <c r="E68" s="26">
        <f>(C68-D68)/D68</f>
        <v>0.7714285714285714</v>
      </c>
      <c r="F68" s="8">
        <f>$C$30</f>
        <v>0.20594710587186132</v>
      </c>
      <c r="G68" s="8">
        <f>$D$30</f>
        <v>0.6789844773290974</v>
      </c>
      <c r="H68" s="8">
        <f>$E$30</f>
        <v>0.11506841679904133</v>
      </c>
    </row>
    <row r="69">
      <c r="B69" s="21" t="n">
        <v>0.3</v>
      </c>
      <c r="C69" s="49">
        <f>(1-$C$22)*(B69*$C$23+(1-B69)*$C$24)</f>
        <v>1306.8</v>
      </c>
      <c r="D69" s="49">
        <f>(1-$C$22)*(B69*$C$23+$C$25*(1-B69)*$C$24)</f>
        <v>891.0</v>
      </c>
      <c r="E69" s="26">
        <f>(C69-D69)/D69</f>
        <v>0.4666666666666666</v>
      </c>
      <c r="F69" s="8">
        <f>$C$30</f>
        <v>0.20594710587186132</v>
      </c>
      <c r="G69" s="8">
        <f>$D$30</f>
        <v>0.6789844773290974</v>
      </c>
      <c r="H69" s="8">
        <f>$E$30</f>
        <v>0.11506841679904133</v>
      </c>
    </row>
    <row r="70">
      <c r="B70" s="21" t="n">
        <v>0.5</v>
      </c>
      <c r="C70" s="49">
        <f>(1-$C$22)*(B70*$C$23+(1-B70)*$C$24)</f>
        <v>1386.0</v>
      </c>
      <c r="D70" s="49">
        <f>(1-$C$22)*(B70*$C$23+$C$25*(1-B70)*$C$24)</f>
        <v>1089.0</v>
      </c>
      <c r="E70" s="26">
        <f>(C70-D70)/D70</f>
        <v>0.2727272727272727</v>
      </c>
      <c r="F70" s="8">
        <f>$C$30</f>
        <v>0.20594710587186132</v>
      </c>
      <c r="G70" s="8">
        <f>$D$30</f>
        <v>0.6789844773290974</v>
      </c>
      <c r="H70" s="8">
        <f>$E$30</f>
        <v>0.11506841679904133</v>
      </c>
    </row>
    <row r="71">
      <c r="B71" s="21" t="n">
        <v>0.7</v>
      </c>
      <c r="C71" s="49">
        <f>(1-$C$22)*(B71*$C$23+(1-B71)*$C$24)</f>
        <v>1465.2</v>
      </c>
      <c r="D71" s="49">
        <f>(1-$C$22)*(B71*$C$23+$C$25*(1-B71)*$C$24)</f>
        <v>1287.0</v>
      </c>
      <c r="E71" s="26">
        <f>(C71-D71)/D71</f>
        <v>0.1384615384615385</v>
      </c>
      <c r="F71" s="8">
        <f>$C$30</f>
        <v>0.20594710587186132</v>
      </c>
      <c r="G71" s="8">
        <f>$D$30</f>
        <v>0.6789844773290974</v>
      </c>
      <c r="H71" s="8">
        <f>$E$30</f>
        <v>0.11506841679904133</v>
      </c>
    </row>
    <row r="72">
      <c r="B72" s="21" t="n">
        <v>0.9</v>
      </c>
      <c r="C72" s="49">
        <f>(1-$C$22)*(B72*$C$23+(1-B72)*$C$24)</f>
        <v>1544.4</v>
      </c>
      <c r="D72" s="49">
        <f>(1-$C$22)*(B72*$C$23+$C$25*(1-B72)*$C$24)</f>
        <v>1485.0</v>
      </c>
      <c r="E72" s="26">
        <f>(C72-D72)/D72</f>
        <v>0.04000000000000006</v>
      </c>
      <c r="F72" s="8">
        <f>$C$30</f>
        <v>0.20594710587186132</v>
      </c>
      <c r="G72" s="8">
        <f>$D$30</f>
        <v>0.6789844773290974</v>
      </c>
      <c r="H72" s="8">
        <f>$E$30</f>
        <v>0.11506841679904133</v>
      </c>
    </row>
    <row r="73">
      <c r="B73" s="12" t="inlineStr">
        <is>
          <t>Les trois dernières colonnes sont CONSTANTES : c'est toute la démonstration de cet onglet. Le rapport fibres/résine déplace k d'un facteur 5 sur la plage balayée, et ne touche pas d'un iota la composition portée dans le XML.</t>
        </is>
      </c>
    </row>
    <row r="75" ht="18" customHeight="1">
      <c r="A75" s="4" t="inlineStr">
        <is>
          <t>§7 — RÉPONSE MATÉRIAU (n'entre PAS dans le XML)</t>
        </is>
      </c>
    </row>
    <row r="76">
      <c r="B76" s="35" t="inlineStr">
        <is>
          <t>k du CPh70</t>
        </is>
      </c>
      <c r="C76" s="46">
        <f>C43</f>
        <v>0.13846153846153833</v>
      </c>
      <c r="I76" s="12" t="inlineStr"/>
    </row>
    <row r="77">
      <c r="B77" s="35" t="inlineStr">
        <is>
          <t>k du TACOT (rappel)</t>
        </is>
      </c>
      <c r="C77" s="50">
        <f>'TACOT'!C103</f>
        <v>0.2727272727272727</v>
      </c>
      <c r="I77" s="12" t="inlineStr"/>
    </row>
    <row r="78">
      <c r="B78" s="35" t="inlineStr">
        <is>
          <t>rapport ρ_char CPh70 / ρ_char TACOT</t>
        </is>
      </c>
      <c r="C78" s="47">
        <f>C39/'TACOT'!C101</f>
        <v>5.85</v>
      </c>
      <c r="I78" s="12" t="inlineStr">
        <is>
          <t>à B'c égal, la récession ṡ = B'c·ṁe/ρ_c du CPh70 est 5.85 fois plus lente</t>
        </is>
      </c>
    </row>
    <row r="80" ht="18" customHeight="1">
      <c r="A80" s="4" t="inlineStr">
        <is>
          <t>§8 — BLOC XML</t>
        </is>
      </c>
    </row>
    <row r="81">
      <c r="B81" s="29" t="inlineStr">
        <is>
          <t>&lt;mixture thermo_db="NASA-9" &gt;</t>
        </is>
      </c>
    </row>
    <row r="82">
      <c r="B82" s="29" t="inlineStr">
        <is>
          <t xml:space="preserve">    &lt;species&gt;</t>
        </is>
      </c>
    </row>
    <row r="83">
      <c r="B83" s="29" t="inlineStr">
        <is>
          <t xml:space="preserve">       C H O N CH4 CN CO CO2 C2 C2H C2H2,acetylene C3 C4 C4H2,butadiyne C5</t>
        </is>
      </c>
    </row>
    <row r="84">
      <c r="B84" s="29" t="inlineStr">
        <is>
          <t xml:space="preserve">       HCN H2 H2O N2 CH2OH CNN CNC CNCOCN C6H6 HNC C(gr)</t>
        </is>
      </c>
    </row>
    <row r="85">
      <c r="B85" s="29" t="inlineStr">
        <is>
          <t xml:space="preserve">    &lt;/species&gt;</t>
        </is>
      </c>
    </row>
    <row r="86">
      <c r="B86" s="29" t="inlineStr">
        <is>
          <t xml:space="preserve">    &lt;element_compositions default="air"&gt;</t>
        </is>
      </c>
    </row>
    <row r="87">
      <c r="B87" s="29" t="inlineStr">
        <is>
          <t xml:space="preserve">        &lt;composition name="air"&gt;N:0.79, O:0.21&lt;/composition&gt;</t>
        </is>
      </c>
    </row>
    <row r="88">
      <c r="B88" s="29" t="inlineStr">
        <is>
          <t xml:space="preserve">        &lt;composition name="cph70_pyro"&gt;C:0.206, H:0.679, O:0.115&lt;/composition&gt;</t>
        </is>
      </c>
    </row>
    <row r="89">
      <c r="B89" s="29" t="inlineStr">
        <is>
          <t xml:space="preserve">        &lt;composition name="cph70_char"&gt;C:1.0&lt;/composition&gt;</t>
        </is>
      </c>
    </row>
    <row r="90">
      <c r="B90" s="29" t="inlineStr">
        <is>
          <t xml:space="preserve">    &lt;/element_compositions&gt;</t>
        </is>
      </c>
    </row>
    <row r="91">
      <c r="B91" s="29" t="inlineStr">
        <is>
          <t>&lt;/mixture&gt;</t>
        </is>
      </c>
    </row>
  </sheetData>
  <mergeCells count="39">
    <mergeCell ref="A54:I54"/>
    <mergeCell ref="B91:I91"/>
    <mergeCell ref="A75:I75"/>
    <mergeCell ref="A66:I66"/>
    <mergeCell ref="B81:I81"/>
    <mergeCell ref="B55:H55"/>
    <mergeCell ref="A80:I80"/>
    <mergeCell ref="B90:I90"/>
    <mergeCell ref="A27:I27"/>
    <mergeCell ref="A3:I3"/>
    <mergeCell ref="B15:H15"/>
    <mergeCell ref="B31:I31"/>
    <mergeCell ref="A12:I12"/>
    <mergeCell ref="B37:H37"/>
    <mergeCell ref="B32:H32"/>
    <mergeCell ref="B52:I52"/>
    <mergeCell ref="A2:I2"/>
    <mergeCell ref="B86:I86"/>
    <mergeCell ref="A5:I5"/>
    <mergeCell ref="B16:H16"/>
    <mergeCell ref="B73:I73"/>
    <mergeCell ref="B88:I88"/>
    <mergeCell ref="B82:I82"/>
    <mergeCell ref="A19:I19"/>
    <mergeCell ref="B87:I87"/>
    <mergeCell ref="B84:I84"/>
    <mergeCell ref="B14:H14"/>
    <mergeCell ref="B83:I83"/>
    <mergeCell ref="B17:H17"/>
    <mergeCell ref="B64:I64"/>
    <mergeCell ref="B13:H13"/>
    <mergeCell ref="B33:I33"/>
    <mergeCell ref="B57:H57"/>
    <mergeCell ref="A1:I1"/>
    <mergeCell ref="A45:I45"/>
    <mergeCell ref="B89:I89"/>
    <mergeCell ref="B85:I85"/>
    <mergeCell ref="B34:H34"/>
    <mergeCell ref="B28:H28"/>
  </mergeCells>
  <pageMargins left="0.75" right="0.75" top="1" bottom="1" header="0.5" footer="0.5"/>
</worksheet>
</file>

<file path=xl/worksheets/sheet5.xml><?xml version="1.0" encoding="utf-8"?>
<worksheet xmlns="http://schemas.openxmlformats.org/spreadsheetml/2006/main">
  <sheetPr>
    <tabColor rgb="007030A0"/>
    <outlinePr summaryBelow="1" summaryRight="1"/>
    <pageSetUpPr/>
  </sheetPr>
  <dimension ref="A1:I119"/>
  <sheetViews>
    <sheetView showGridLines="0" workbookViewId="0">
      <pane ySplit="4" topLeftCell="A5" activePane="bottomLeft" state="frozen"/>
      <selection pane="bottomLeft" activeCell="A1" sqref="A1"/>
    </sheetView>
  </sheetViews>
  <sheetFormatPr baseColWidth="8" defaultRowHeight="15"/>
  <cols>
    <col width="4.5" customWidth="1" min="1" max="1"/>
    <col width="34" customWidth="1" min="2" max="2"/>
    <col width="13" customWidth="1" min="3" max="3"/>
    <col width="13" customWidth="1" min="4" max="4"/>
    <col width="13" customWidth="1" min="5" max="5"/>
    <col width="13" customWidth="1" min="6" max="6"/>
    <col width="13" customWidth="1" min="7" max="7"/>
    <col width="13" customWidth="1" min="8" max="8"/>
    <col width="72" customWidth="1" min="9" max="9"/>
  </cols>
  <sheetData>
    <row r="1" ht="26" customHeight="1">
      <c r="A1" s="1" t="inlineStr">
        <is>
          <t>ZURAM® 18/50 — carbone/phénolique DLR</t>
        </is>
      </c>
    </row>
    <row r="2" ht="16" customHeight="1">
      <c r="A2" s="2" t="inlineStr">
        <is>
          <t>Chaîne INVERSE du TACOT : la donnée primaire est une composition élémentaire MASSIQUE mesurée, pas une spéciation moléculaire</t>
        </is>
      </c>
    </row>
    <row r="3">
      <c r="A3" s="3" t="inlineStr">
        <is>
          <t>Fichier(s) XML : data/mixtures/zuram-air.xml · zuram-pyrogas.xml</t>
        </is>
      </c>
    </row>
    <row r="5" ht="18" customHeight="1">
      <c r="A5" s="4" t="inlineStr">
        <is>
          <t>§0 — FICHE D'IDENTITÉ</t>
        </is>
      </c>
    </row>
    <row r="6">
      <c r="B6" s="35" t="inlineStr">
        <is>
          <t>Matériau</t>
        </is>
      </c>
      <c r="C6" s="30" t="inlineStr">
        <is>
          <t>ZURAM® 18/50, ablateur carbone/phénolique du DLR</t>
        </is>
      </c>
      <c r="I6" s="12" t="inlineStr">
        <is>
          <t>'ZURAM_official'!A4 du classeur Tacot_Zuram_Calcarb_database_v4.3.1.ods</t>
        </is>
      </c>
    </row>
    <row r="7">
      <c r="B7" s="35" t="inlineStr">
        <is>
          <t>Renfort</t>
        </is>
      </c>
      <c r="C7" s="30" t="inlineStr">
        <is>
          <t>préforme Mersen Calcarb CBCF 18/2000 — « 18 » = 180 kg/m³ nominal</t>
        </is>
      </c>
      <c r="I7" s="12" t="inlineStr">
        <is>
          <t>'Calcarb_official'!D15 ; note de version 4.3.0</t>
        </is>
      </c>
    </row>
    <row r="8">
      <c r="B8" s="35" t="inlineStr">
        <is>
          <t>Résine</t>
        </is>
      </c>
      <c r="C8" s="30" t="inlineStr">
        <is>
          <t>phénolique catalysée à l'hexamine (HMTA) — novolac DÉDUIT, non déclaré</t>
        </is>
      </c>
      <c r="I8" s="12" t="inlineStr">
        <is>
          <t>[THo] Aerosp. Sci. Technol. 119 (2021) 107079, § 4.2</t>
        </is>
      </c>
    </row>
    <row r="9">
      <c r="B9" s="35" t="inlineStr">
        <is>
          <t>« 50 » du nom</t>
        </is>
      </c>
      <c r="C9" s="30" t="inlineStr">
        <is>
          <t>teneur en résine, en % masse de la recette — CONFIRMÉ</t>
        </is>
      </c>
      <c r="I9" s="12" t="inlineStr">
        <is>
          <t>Pagan et al. 2017, table 1 : les variantes −25 % et −50 % de résine s'appellent 18/43 et 18/33, soit exactement 42.857 % et 33.333 %</t>
        </is>
      </c>
    </row>
    <row r="10">
      <c r="B10" s="35" t="inlineStr">
        <is>
          <t>Source du gaz</t>
        </is>
      </c>
      <c r="C10" s="30" t="inlineStr">
        <is>
          <t>campagne AblaNTIS du VKI, fractions MASSIQUES élémentaires</t>
        </is>
      </c>
      <c r="I10" s="12" t="inlineStr">
        <is>
          <t>'ZURAM_official'!E87:E89</t>
        </is>
      </c>
    </row>
    <row r="11">
      <c r="B11" s="35" t="inlineStr">
        <is>
          <t>Compositions du XML</t>
        </is>
      </c>
      <c r="C11" s="30" t="inlineStr">
        <is>
          <t>BLedge (-bl) · VKIZuramPyroGas (-py) · Char (-char, -char-elem C)</t>
        </is>
      </c>
      <c r="I11" s="12" t="inlineStr">
        <is>
          <t>reproduit le cas de référence AblaNTIS carbonPhenolInAir</t>
        </is>
      </c>
    </row>
    <row r="13" ht="18" customHeight="1">
      <c r="A13" s="4" t="inlineStr">
        <is>
          <t>§1 — HYPOTHÈSES</t>
        </is>
      </c>
    </row>
    <row r="14" ht="26" customHeight="1">
      <c r="A14" s="20" t="inlineStr">
        <is>
          <t>H1</t>
        </is>
      </c>
      <c r="B14" s="5" t="inlineStr">
        <is>
          <t>La donnée primaire est la composition élémentaire MASSIQUE du gaz, mesurée — il n'y a pas de spéciation moléculaire à sommer.</t>
        </is>
      </c>
      <c r="I14" s="12" t="inlineStr">
        <is>
          <t>C'est la différence de fond avec le TACOT : ici le calcul se réduit à une conversion masse → mole. La contrepartie est que la traçabilité s'arrête à trois décimales, la source [4] VKI_ZURAM_characterization n'étant pas publique.</t>
        </is>
      </c>
    </row>
    <row r="15" ht="26" customHeight="1">
      <c r="A15" s="20" t="inlineStr">
        <is>
          <t>H2</t>
        </is>
      </c>
      <c r="B15" s="5" t="inlineStr">
        <is>
          <t>Conversion effectuée avec les masses molaires DU CLASSEUR (C 12.0107, H 1.00794, O 15.999).</t>
        </is>
      </c>
      <c r="I15" s="12" t="inlineStr">
        <is>
          <t>Elles seules reproduisent 'ZURAM_official'!D87:D89 au 4e-16 près. Les masses usuelles donneraient le même résultat à l'arrondi près, mais pas la reproduction exacte.</t>
        </is>
      </c>
    </row>
    <row r="16" ht="26" customHeight="1">
      <c r="A16" s="20" t="inlineStr">
        <is>
          <t>H3</t>
        </is>
      </c>
      <c r="B16" s="5" t="inlineStr">
        <is>
          <t>Le gaz est déclaré sans azote, bien que la résine en contienne 1.44 % (hexamine).</t>
        </is>
      </c>
      <c r="I16" s="12" t="inlineStr">
        <is>
          <t>[THo] mesure un rendement massique constant de 1.5 % de NH3 au-dessus de 500 °C. Comme pour le TACOT, l'azote est traité comme un composé de catalyseur, hors squelette.</t>
        </is>
      </c>
    </row>
    <row r="17" ht="26" customHeight="1">
      <c r="A17" s="20" t="inlineStr">
        <is>
          <t>H4</t>
        </is>
      </c>
      <c r="B17" s="5" t="inlineStr">
        <is>
          <t>Le char est du carbone pur : C:1.0.</t>
        </is>
      </c>
      <c r="I17" s="12" t="inlineStr">
        <is>
          <t>[THo] mesure pourtant C 96.36 / N 0.13 / H 0.08 / O 3.43 % à 800 °C, et le souligne explicitement. L'hypothèse reste licite en ablation (paroi &gt; 2000 K) et c'est elle qui ferme le mieux le bilan (§5, contrôle C).</t>
        </is>
      </c>
    </row>
    <row r="18" ht="26" customHeight="1">
      <c r="A18" s="20" t="inlineStr">
        <is>
          <t>H5</t>
        </is>
      </c>
      <c r="B18" s="5" t="inlineStr">
        <is>
          <t>Microstructure : densité intrinsèque de matrice INCHANGÉE à la pyrolyse (pure perte de volume).</t>
        </is>
      </c>
      <c r="I18" s="12" t="inlineStr">
        <is>
          <t>Anomalie ouverte n° 3 du classeur : « Intrinsic density of charred resin not well evaluated by He pycnometry ». N'affecte que ρ_c et donc k, pas le XML.</t>
        </is>
      </c>
    </row>
    <row r="19" ht="26" customHeight="1">
      <c r="A19" s="20" t="inlineStr">
        <is>
          <t>H6</t>
        </is>
      </c>
      <c r="B19" s="5" t="inlineStr">
        <is>
          <t>Liste d'espèces = les 20 espèces gazeuses du cas AblaNTIS + C(gr).</t>
        </is>
      </c>
      <c r="I19" s="12" t="inlineStr">
        <is>
          <t>Le but est de reproduire EXACTEMENT la table B' de référence Bprime_carbonPhenolInAir_AblaNTIS.txt : on reprend sa liste à l'identique.</t>
        </is>
      </c>
    </row>
    <row r="21" ht="18" customHeight="1">
      <c r="A21" s="4" t="inlineStr">
        <is>
          <t>§2 — DONNÉES D'ENTRÉE</t>
        </is>
      </c>
    </row>
    <row r="22">
      <c r="A22" s="20" t="inlineStr">
        <is>
          <t>&gt;</t>
        </is>
      </c>
      <c r="B22" s="20" t="inlineStr">
        <is>
          <t>Gaz de pyrolyse — fractions massiques élémentaires mesurées</t>
        </is>
      </c>
      <c r="I22" s="27" t="inlineStr">
        <is>
          <t>'ZURAM_official'!E87:E89</t>
        </is>
      </c>
    </row>
    <row r="23">
      <c r="B23" s="6" t="inlineStr"/>
      <c r="C23" s="6" t="inlineStr">
        <is>
          <t>C</t>
        </is>
      </c>
      <c r="D23" s="6" t="inlineStr">
        <is>
          <t>H</t>
        </is>
      </c>
      <c r="E23" s="6" t="inlineStr">
        <is>
          <t>O</t>
        </is>
      </c>
      <c r="F23" s="6" t="inlineStr">
        <is>
          <t>Somme</t>
        </is>
      </c>
      <c r="G23" s="6" t="inlineStr"/>
      <c r="H23" s="6" t="inlineStr"/>
    </row>
    <row r="24">
      <c r="B24" s="7" t="inlineStr">
        <is>
          <t>y_E — fraction massique [-]</t>
        </is>
      </c>
      <c r="C24" s="51" t="n">
        <v>0.457</v>
      </c>
      <c r="D24" s="51" t="n">
        <v>0.162</v>
      </c>
      <c r="E24" s="51" t="n">
        <v>0.381</v>
      </c>
      <c r="F24" s="24">
        <f>SUM(C24:E24)</f>
        <v>1.0</v>
      </c>
      <c r="G24" s="15" t="inlineStr"/>
      <c r="H24" s="15" t="inlineStr"/>
    </row>
    <row r="25">
      <c r="B25" s="7" t="inlineStr">
        <is>
          <t>M_E [g/mol] — masses du classeur</t>
        </is>
      </c>
      <c r="C25" s="52">
        <f>Constantes!$D$7</f>
        <v>12.0107</v>
      </c>
      <c r="D25" s="52">
        <f>Constantes!$D$8</f>
        <v>1.00794</v>
      </c>
      <c r="E25" s="52">
        <f>Constantes!$D$9</f>
        <v>15.999</v>
      </c>
      <c r="F25" s="15" t="inlineStr"/>
      <c r="G25" s="15" t="inlineStr"/>
      <c r="H25" s="15" t="inlineStr"/>
    </row>
    <row r="26">
      <c r="B26" s="7" t="inlineStr">
        <is>
          <t>x_E du classeur ('ZURAM_official'!D87:D89)</t>
        </is>
      </c>
      <c r="C26" s="53" t="n">
        <v>0.170941536278466</v>
      </c>
      <c r="D26" s="53" t="n">
        <v>0.722071254424386</v>
      </c>
      <c r="E26" s="53" t="n">
        <v>0.106987209297148</v>
      </c>
      <c r="F26" s="15" t="inlineStr"/>
      <c r="G26" s="15" t="inlineStr"/>
      <c r="H26" s="15" t="inlineStr"/>
    </row>
    <row r="28">
      <c r="A28" s="20" t="inlineStr">
        <is>
          <t>&gt;</t>
        </is>
      </c>
      <c r="B28" s="20" t="inlineStr">
        <is>
          <t>Résine vierge et char — campagne [THo] (analyseur élémentaire, fig. 7)</t>
        </is>
      </c>
      <c r="I28" s="27" t="inlineStr">
        <is>
          <t>% masse</t>
        </is>
      </c>
    </row>
    <row r="29">
      <c r="B29" s="6" t="inlineStr"/>
      <c r="C29" s="6" t="inlineStr">
        <is>
          <t>C</t>
        </is>
      </c>
      <c r="D29" s="6" t="inlineStr">
        <is>
          <t>H</t>
        </is>
      </c>
      <c r="E29" s="6" t="inlineStr">
        <is>
          <t>N</t>
        </is>
      </c>
      <c r="F29" s="6" t="inlineStr">
        <is>
          <t>O</t>
        </is>
      </c>
      <c r="G29" s="6" t="inlineStr">
        <is>
          <t>Somme</t>
        </is>
      </c>
      <c r="H29" s="6" t="inlineStr"/>
    </row>
    <row r="30">
      <c r="B30" s="7" t="inlineStr">
        <is>
          <t>résine vierge [% masse]</t>
        </is>
      </c>
      <c r="C30" s="36" t="n">
        <v>75.20999999999999</v>
      </c>
      <c r="D30" s="36" t="n">
        <v>5.75</v>
      </c>
      <c r="E30" s="36" t="n">
        <v>1.44</v>
      </c>
      <c r="F30" s="36" t="n">
        <v>14.13</v>
      </c>
      <c r="G30" s="9">
        <f>SUM(C30:F30)</f>
        <v>96.52999999999999</v>
      </c>
      <c r="H30" s="15" t="inlineStr"/>
    </row>
    <row r="31">
      <c r="B31" s="7" t="inlineStr">
        <is>
          <t>char à 800 °C [% masse]</t>
        </is>
      </c>
      <c r="C31" s="36" t="n">
        <v>96.36</v>
      </c>
      <c r="D31" s="36" t="n">
        <v>0.08</v>
      </c>
      <c r="E31" s="36" t="n">
        <v>0.13</v>
      </c>
      <c r="F31" s="36" t="n">
        <v>3.43</v>
      </c>
      <c r="G31" s="9">
        <f>SUM(C31:F31)</f>
        <v>100.0</v>
      </c>
      <c r="H31" s="15" t="inlineStr"/>
    </row>
    <row r="32">
      <c r="B32" s="12" t="inlineStr">
        <is>
          <t>La somme de l'analyse de résine vaut 96.5 % (relevé graphique de la fig. 7) : l'étape 1 du contrôle C la renormalise à 100 %. [THo] commente lui-même la discordance sur l'oxygène entre analyseur élémentaire et micropyrolyse, imputée aux composés lourds non détectés.</t>
        </is>
      </c>
    </row>
    <row r="34">
      <c r="A34" s="20" t="inlineStr">
        <is>
          <t>&gt;</t>
        </is>
      </c>
      <c r="B34" s="20" t="inlineStr">
        <is>
          <t>Microstructure — 'ZURAM_official'!D12:F21</t>
        </is>
      </c>
      <c r="I34" s="27" t="inlineStr">
        <is>
          <t>fractions volumiques et densités intrinsèques</t>
        </is>
      </c>
    </row>
    <row r="35">
      <c r="B35" s="6" t="inlineStr">
        <is>
          <t>Fractions volumiques</t>
        </is>
      </c>
      <c r="C35" s="6" t="inlineStr">
        <is>
          <t>pores</t>
        </is>
      </c>
      <c r="D35" s="6" t="inlineStr">
        <is>
          <t>fibres</t>
        </is>
      </c>
      <c r="E35" s="6" t="inlineStr">
        <is>
          <t>résine</t>
        </is>
      </c>
      <c r="F35" s="6" t="inlineStr">
        <is>
          <t>Somme</t>
        </is>
      </c>
      <c r="G35" s="6" t="inlineStr">
        <is>
          <t>ρ intrinsèque [g/cm³]</t>
        </is>
      </c>
      <c r="H35" s="6" t="inlineStr"/>
    </row>
    <row r="36">
      <c r="B36" s="7" t="inlineStr">
        <is>
          <t>vierge</t>
        </is>
      </c>
      <c r="C36" s="54" t="n">
        <v>0.707299</v>
      </c>
      <c r="D36" s="54" t="n">
        <v>0.129973</v>
      </c>
      <c r="E36" s="54" t="n">
        <v>0.162729</v>
      </c>
      <c r="F36" s="24">
        <f>SUM(C36:E36)</f>
        <v>1.0000010000000001</v>
      </c>
      <c r="G36" s="15" t="inlineStr"/>
      <c r="H36" s="15" t="inlineStr"/>
    </row>
    <row r="37">
      <c r="B37" s="7" t="inlineStr">
        <is>
          <t>char</t>
        </is>
      </c>
      <c r="C37" s="54" t="n">
        <v>0.769174</v>
      </c>
      <c r="D37" s="54" t="n">
        <v>0.129973</v>
      </c>
      <c r="E37" s="54" t="n">
        <v>0.100854</v>
      </c>
      <c r="F37" s="24">
        <f>SUM(C37:E37)</f>
        <v>1.0000010000000001</v>
      </c>
      <c r="G37" s="15" t="inlineStr"/>
      <c r="H37" s="15" t="inlineStr"/>
    </row>
    <row r="38">
      <c r="B38" s="7" t="inlineStr">
        <is>
          <t>densité intrinsèque [g/cm³]</t>
        </is>
      </c>
      <c r="C38" s="11" t="inlineStr">
        <is>
          <t>—</t>
        </is>
      </c>
      <c r="D38" s="21" t="n">
        <v>1.5772</v>
      </c>
      <c r="E38" s="21" t="n">
        <v>1.3151</v>
      </c>
      <c r="F38" s="15" t="inlineStr"/>
      <c r="G38" s="15" t="inlineStr"/>
      <c r="H38" s="15" t="inlineStr"/>
    </row>
    <row r="39">
      <c r="B39" s="12" t="inlineStr">
        <is>
          <t>Piège d'unités : l'en-tête du classeur annonce [kg/m³] mais les valeurs sont en g/cm³. Anomalie ouverte n° 2 : 0.129973 × 1577.2 = 205.0 kg/m³ de fibres, soit 14 % de plus que les 180 kg/m³ nominaux de la préforme CBCF 18/2000.</t>
        </is>
      </c>
    </row>
    <row r="41">
      <c r="A41" s="20" t="inlineStr">
        <is>
          <t>&gt;</t>
        </is>
      </c>
      <c r="B41" s="20" t="inlineStr">
        <is>
          <t>Cinétique de pyrolyse — 'ZURAM_official'!B80:B83</t>
        </is>
      </c>
      <c r="I41" s="27" t="inlineStr">
        <is>
          <t>les f_i ont été divisées par la fraction massique de résine pour porter sur la résine seule (B77)</t>
        </is>
      </c>
    </row>
    <row r="42">
      <c r="B42" s="6" t="inlineStr">
        <is>
          <t>Réaction</t>
        </is>
      </c>
      <c r="C42" s="6" t="inlineStr">
        <is>
          <t>f_i [-]</t>
        </is>
      </c>
      <c r="D42" s="6" t="inlineStr">
        <is>
          <t>log10 A</t>
        </is>
      </c>
      <c r="E42" s="6" t="inlineStr">
        <is>
          <t>E/R [K]</t>
        </is>
      </c>
      <c r="F42" s="6" t="inlineStr">
        <is>
          <t>m</t>
        </is>
      </c>
      <c r="G42" s="6" t="inlineStr"/>
      <c r="H42" s="6" t="inlineStr"/>
    </row>
    <row r="43">
      <c r="B43" s="7" t="inlineStr">
        <is>
          <t>réaction 1</t>
        </is>
      </c>
      <c r="C43" s="54" t="n">
        <v>0.03507</v>
      </c>
      <c r="D43" s="36" t="n">
        <v>5.33</v>
      </c>
      <c r="E43" s="55" t="n">
        <v>8178.5</v>
      </c>
      <c r="F43" s="36" t="n">
        <v>4.3</v>
      </c>
      <c r="G43" s="15" t="inlineStr"/>
      <c r="H43" s="15" t="inlineStr"/>
    </row>
    <row r="44">
      <c r="B44" s="7" t="inlineStr">
        <is>
          <t>réaction 2</t>
        </is>
      </c>
      <c r="C44" s="54" t="n">
        <v>0.027687</v>
      </c>
      <c r="D44" s="36" t="n">
        <v>8.69</v>
      </c>
      <c r="E44" s="55" t="n">
        <v>16068.4</v>
      </c>
      <c r="F44" s="36" t="n">
        <v>3.7</v>
      </c>
      <c r="G44" s="15" t="inlineStr"/>
      <c r="H44" s="15" t="inlineStr"/>
    </row>
    <row r="45">
      <c r="B45" s="7" t="inlineStr">
        <is>
          <t>réaction 3</t>
        </is>
      </c>
      <c r="C45" s="54" t="n">
        <v>0.095981</v>
      </c>
      <c r="D45" s="36" t="n">
        <v>10.6</v>
      </c>
      <c r="E45" s="55" t="n">
        <v>21612.9</v>
      </c>
      <c r="F45" s="36" t="n">
        <v>2.57</v>
      </c>
      <c r="G45" s="15" t="inlineStr"/>
      <c r="H45" s="15" t="inlineStr"/>
    </row>
    <row r="46">
      <c r="B46" s="7" t="inlineStr">
        <is>
          <t>réaction 4</t>
        </is>
      </c>
      <c r="C46" s="54" t="n">
        <v>0.221495</v>
      </c>
      <c r="D46" s="36" t="n">
        <v>11.67</v>
      </c>
      <c r="E46" s="55" t="n">
        <v>26423.8</v>
      </c>
      <c r="F46" s="36" t="n">
        <v>4.63</v>
      </c>
      <c r="G46" s="15" t="inlineStr"/>
      <c r="H46" s="15" t="inlineStr"/>
    </row>
    <row r="47">
      <c r="B47" s="13" t="inlineStr">
        <is>
          <t>Σ f_i</t>
        </is>
      </c>
      <c r="C47" s="56">
        <f>SUM(C43:C46)</f>
        <v>0.380233</v>
      </c>
      <c r="D47" s="15" t="inlineStr"/>
      <c r="E47" s="15" t="inlineStr"/>
      <c r="F47" s="15" t="inlineStr"/>
      <c r="G47" s="15" t="inlineStr"/>
      <c r="H47" s="15" t="inlineStr"/>
    </row>
    <row r="49" ht="18" customHeight="1">
      <c r="A49" s="4" t="inlineStr">
        <is>
          <t>§3 — CALCUL PAS À PAS</t>
        </is>
      </c>
    </row>
    <row r="50">
      <c r="A50" s="20" t="inlineStr">
        <is>
          <t>&gt;</t>
        </is>
      </c>
      <c r="B50" s="20" t="inlineStr">
        <is>
          <t>Étape 1 — conversion masse → mole (c'est TOUT le calcul du XML)</t>
        </is>
      </c>
      <c r="I50" s="27" t="inlineStr">
        <is>
          <t>n_E = y_E / M_E ;  x_E = n_E / Σ_j n_j</t>
        </is>
      </c>
    </row>
    <row r="51">
      <c r="B51" s="6" t="inlineStr"/>
      <c r="C51" s="6" t="inlineStr">
        <is>
          <t>C</t>
        </is>
      </c>
      <c r="D51" s="6" t="inlineStr">
        <is>
          <t>H</t>
        </is>
      </c>
      <c r="E51" s="6" t="inlineStr">
        <is>
          <t>O</t>
        </is>
      </c>
      <c r="F51" s="6" t="inlineStr">
        <is>
          <t>Somme</t>
        </is>
      </c>
      <c r="G51" s="6" t="inlineStr">
        <is>
          <t>M_gaz [g/mol]</t>
        </is>
      </c>
      <c r="H51" s="6" t="inlineStr">
        <is>
          <t>écart / classeur</t>
        </is>
      </c>
    </row>
    <row r="52">
      <c r="B52" s="7" t="inlineStr">
        <is>
          <t>n_E = y_E / M_E  [mol par gramme de gaz]</t>
        </is>
      </c>
      <c r="C52" s="57">
        <f>C24/C25</f>
        <v>0.038049405946364495</v>
      </c>
      <c r="D52" s="57">
        <f>D24/D25</f>
        <v>0.16072385261027441</v>
      </c>
      <c r="E52" s="57">
        <f>E24/E25</f>
        <v>0.02381398837427339</v>
      </c>
      <c r="F52" s="57">
        <f>SUM(C52:E52)</f>
        <v>0.2225872469309123</v>
      </c>
      <c r="G52" s="24">
        <f>1/F52</f>
        <v>4.492620371509356</v>
      </c>
      <c r="H52" s="15" t="inlineStr"/>
    </row>
    <row r="53">
      <c r="B53" s="7" t="inlineStr">
        <is>
          <t>x_E = n_E / Σ n_j</t>
        </is>
      </c>
      <c r="C53" s="58">
        <f>C52/$F$52</f>
        <v>0.17094153627846637</v>
      </c>
      <c r="D53" s="58">
        <f>D52/$F$52</f>
        <v>0.722071254424386</v>
      </c>
      <c r="E53" s="58">
        <f>E52/$F$52</f>
        <v>0.10698720929714761</v>
      </c>
      <c r="F53" s="24">
        <f>SUM(C53:E53)</f>
        <v>1.0</v>
      </c>
      <c r="G53" s="15" t="inlineStr"/>
      <c r="H53" s="59">
        <f>MAX(ABS(C53-C26),ABS(D53-D26),ABS(E53-E26))</f>
        <v>3.885780586188048e-16</v>
      </c>
    </row>
    <row r="54">
      <c r="B54" s="12" t="inlineStr">
        <is>
          <t>M_gaz = 1 / Σ(y_E/M_E) = 4.4926 g/mol, contre 4.9990 pour le TACOT : le gaz du ZURAM est plus léger — plus riche en hydrogène (0.722 contre 0.679) et nettement plus pauvre en carbone (0.171 contre 0.206). L'écart avec le classeur (colonne H) vaut ~4e-16.</t>
        </is>
      </c>
    </row>
    <row r="56" ht="18" customHeight="1">
      <c r="A56" s="4" t="inlineStr">
        <is>
          <t>§4 — RÉSULTAT : CE QUI ENTRE DANS LE XML</t>
        </is>
      </c>
    </row>
    <row r="57">
      <c r="B57" s="6" t="inlineStr">
        <is>
          <t>Composition élémentaire (fractions molaires)</t>
        </is>
      </c>
      <c r="C57" s="6" t="inlineStr">
        <is>
          <t>C</t>
        </is>
      </c>
      <c r="D57" s="6" t="inlineStr">
        <is>
          <t>H</t>
        </is>
      </c>
      <c r="E57" s="6" t="inlineStr">
        <is>
          <t>O</t>
        </is>
      </c>
      <c r="F57" s="6" t="inlineStr">
        <is>
          <t>Somme</t>
        </is>
      </c>
    </row>
    <row r="58">
      <c r="B58" s="7" t="inlineStr">
        <is>
          <t>calcul — chaîne complète ci-dessus</t>
        </is>
      </c>
      <c r="C58" s="26">
        <f>C53</f>
        <v>0.17094153627846637</v>
      </c>
      <c r="D58" s="26">
        <f>D53</f>
        <v>0.722071254424386</v>
      </c>
      <c r="E58" s="26">
        <f>E53</f>
        <v>0.10698720929714761</v>
      </c>
      <c r="F58" s="24">
        <f>SUM(C58:E58)</f>
        <v>1.0</v>
      </c>
    </row>
    <row r="59">
      <c r="B59" s="7" t="inlineStr">
        <is>
          <t>valeur portée dans le XML (VKIZuramPyroGas)</t>
        </is>
      </c>
      <c r="C59" s="42" t="n">
        <v>0.171</v>
      </c>
      <c r="D59" s="42" t="n">
        <v>0.722</v>
      </c>
      <c r="E59" s="42" t="n">
        <v>0.107</v>
      </c>
      <c r="F59" s="24">
        <f>SUM(C59:E59)</f>
        <v>1.0</v>
      </c>
    </row>
    <row r="60">
      <c r="B60" s="7" t="inlineStr">
        <is>
          <t>écart relatif |calcul − XML| / XML</t>
        </is>
      </c>
      <c r="C60" s="43">
        <f>ABS(C58-C59)/C59</f>
        <v>0.00034189310838390045</v>
      </c>
      <c r="D60" s="43">
        <f>ABS(D58-D59)/D59</f>
        <v>9.86903384848295e-05</v>
      </c>
      <c r="E60" s="43">
        <f>ABS(E58-E59)/E59</f>
        <v>0.00011953927899426204</v>
      </c>
      <c r="F60" s="15" t="inlineStr"/>
    </row>
    <row r="61">
      <c r="B61" s="12" t="inlineStr">
        <is>
          <t>L'écart est celui de l'arrondi à trois décimales. ATTENTION : l'onglet ZURAM_preliminary du même classeur porte une valeur DIFFÉRENTE (C:0.1246, H:0.7506, O:0.1249), issue d'une autre voie — 37 % d'écart sur le carbone. Ce n'est PAS la valeur du XML.</t>
        </is>
      </c>
    </row>
    <row r="63">
      <c r="B63" s="6" t="inlineStr">
        <is>
          <t>Char (Char)</t>
        </is>
      </c>
      <c r="C63" s="6" t="inlineStr">
        <is>
          <t>C</t>
        </is>
      </c>
      <c r="D63" s="6" t="inlineStr">
        <is>
          <t>H</t>
        </is>
      </c>
      <c r="E63" s="6" t="inlineStr">
        <is>
          <t>O</t>
        </is>
      </c>
      <c r="F63" s="6" t="inlineStr"/>
      <c r="G63" s="6" t="inlineStr"/>
      <c r="H63" s="6" t="inlineStr"/>
    </row>
    <row r="64">
      <c r="B64" s="7" t="inlineStr">
        <is>
          <t>composition du XML</t>
        </is>
      </c>
      <c r="C64" s="44" t="n">
        <v>1</v>
      </c>
      <c r="D64" s="11" t="inlineStr">
        <is>
          <t>—</t>
        </is>
      </c>
      <c r="E64" s="11" t="inlineStr">
        <is>
          <t>—</t>
        </is>
      </c>
      <c r="F64" s="15" t="inlineStr"/>
      <c r="G64" s="15" t="inlineStr"/>
      <c r="H64" s="15" t="inlineStr"/>
    </row>
    <row r="66" ht="18" customHeight="1">
      <c r="A66" s="4" t="inlineStr">
        <is>
          <t>§5 — CONTRÔLES ET VALIDATION CROISÉE</t>
        </is>
      </c>
    </row>
    <row r="67">
      <c r="A67" s="20" t="inlineStr">
        <is>
          <t>&gt;</t>
        </is>
      </c>
      <c r="B67" s="20" t="inlineStr">
        <is>
          <t>Contrôle A — le rendement en char par DEUX voies indépendantes du classeur</t>
        </is>
      </c>
      <c r="I67" s="27" t="inlineStr">
        <is>
          <t>(a) volumique : ε_m,char/ε_m,vierge   (b) cinétique : 1 − Σ f_i</t>
        </is>
      </c>
    </row>
    <row r="68">
      <c r="B68" s="35" t="inlineStr">
        <is>
          <t>(a) fractions volumiques de matrice</t>
        </is>
      </c>
      <c r="C68" s="60">
        <f>E37/E36</f>
        <v>0.6197666058293235</v>
      </c>
      <c r="I68" s="12" t="inlineStr">
        <is>
          <t>0.100854 / 0.162729 — licite car la densité intrinsèque de matrice est supposée inchangée (H5)</t>
        </is>
      </c>
    </row>
    <row r="69">
      <c r="B69" s="35" t="inlineStr">
        <is>
          <t>(b) cinétique de pyrolyse</t>
        </is>
      </c>
      <c r="C69" s="60">
        <f>1-C47</f>
        <v>0.619767</v>
      </c>
      <c r="I69" s="12" t="inlineStr">
        <is>
          <t>1 − Σ f_i sur les 4 réactions</t>
        </is>
      </c>
    </row>
    <row r="70">
      <c r="B70" s="35" t="inlineStr">
        <is>
          <t>écart entre les deux voies</t>
        </is>
      </c>
      <c r="C70" s="41">
        <f>ABS(C68-C69)</f>
        <v>3.94170676432104e-07</v>
      </c>
      <c r="I70" s="12" t="inlineStr">
        <is>
          <t>attendu ~4e-16 — le classeur est cohérent à la dernière décimale</t>
        </is>
      </c>
    </row>
    <row r="71">
      <c r="B71" s="12" t="inlineStr">
        <is>
          <t>Rendement en char de la résine du ZURAM : 0.6198, contre 0.50 pour le TACOT. Le ZURAM charbonne nettement plus — cohérent avec une résine plus réticulée (motif C7H6O plutôt que C6H6O). Comme pour le TACOT, aucune cellule ne porte ce nombre : il est implicite.</t>
        </is>
      </c>
    </row>
    <row r="73">
      <c r="A73" s="20" t="inlineStr">
        <is>
          <t>&gt;</t>
        </is>
      </c>
      <c r="B73" s="20" t="inlineStr">
        <is>
          <t>Contrôle C — fermeture croisée résine − char → gaz (deux campagnes distinctes)</t>
        </is>
      </c>
      <c r="I73" s="27" t="inlineStr">
        <is>
          <t>n_E(gaz) = n_E(résine renormalisée) − n_E(char)</t>
        </is>
      </c>
    </row>
    <row r="74">
      <c r="B74" s="6" t="inlineStr">
        <is>
          <t>Base 100 g de résine vierge</t>
        </is>
      </c>
      <c r="C74" s="6" t="inlineStr">
        <is>
          <t>C</t>
        </is>
      </c>
      <c r="D74" s="6" t="inlineStr">
        <is>
          <t>H</t>
        </is>
      </c>
      <c r="E74" s="6" t="inlineStr">
        <is>
          <t>O</t>
        </is>
      </c>
      <c r="F74" s="6" t="inlineStr">
        <is>
          <t>Somme</t>
        </is>
      </c>
      <c r="G74" s="6" t="inlineStr">
        <is>
          <t>écart max / XML</t>
        </is>
      </c>
      <c r="H74" s="6" t="inlineStr"/>
    </row>
    <row r="75">
      <c r="B75" s="7" t="inlineStr">
        <is>
          <t>résine renormalisée à 100 % [% masse]</t>
        </is>
      </c>
      <c r="C75" s="9">
        <f>C30/$G$30*100</f>
        <v>77.91360198901897</v>
      </c>
      <c r="D75" s="9">
        <f>D30/$G$30*100</f>
        <v>5.956697399772092</v>
      </c>
      <c r="E75" s="9">
        <f>F30/$G$30*100</f>
        <v>14.637936392831246</v>
      </c>
      <c r="F75" s="15" t="inlineStr"/>
      <c r="G75" s="15" t="inlineStr"/>
      <c r="H75" s="15" t="inlineStr"/>
    </row>
    <row r="76">
      <c r="B76" s="7" t="inlineStr">
        <is>
          <t>moles d'atomes de la résine</t>
        </is>
      </c>
      <c r="C76" s="26">
        <f>C75/Constantes!$C$7</f>
        <v>6.486853883025475</v>
      </c>
      <c r="D76" s="26">
        <f>D75/Constantes!$C$8</f>
        <v>5.909422023583424</v>
      </c>
      <c r="E76" s="26">
        <f>E75/Constantes!$C$9</f>
        <v>0.9149282075649257</v>
      </c>
      <c r="F76" s="26">
        <f>SUM(C76:E76)</f>
        <v>13.311204114173824</v>
      </c>
      <c r="G76" s="15" t="inlineStr"/>
      <c r="H76" s="15" t="inlineStr"/>
    </row>
    <row r="77">
      <c r="B77" s="7" t="inlineStr">
        <is>
          <t>char retranché — carbone pur, Y = 0.6198</t>
        </is>
      </c>
      <c r="C77" s="26">
        <f>$C$68*100/Constantes!$C$7</f>
        <v>5.1599917228317675</v>
      </c>
      <c r="D77" s="26" t="n">
        <v>0</v>
      </c>
      <c r="E77" s="26" t="n">
        <v>0</v>
      </c>
      <c r="F77" s="26">
        <f>SUM(C77:E77)</f>
        <v>5.1599917228317675</v>
      </c>
      <c r="G77" s="15" t="inlineStr"/>
      <c r="H77" s="15" t="inlineStr"/>
    </row>
    <row r="78">
      <c r="B78" s="7" t="inlineStr">
        <is>
          <t>gaz obtenu — x_E</t>
        </is>
      </c>
      <c r="C78" s="26">
        <f>(C76-C77)/($F$76-$F$77)</f>
        <v>0.16278095778770968</v>
      </c>
      <c r="D78" s="26">
        <f>(D76-D77)/($F$76-$F$77)</f>
        <v>0.7249746098948683</v>
      </c>
      <c r="E78" s="26">
        <f>(E76-E77)/($F$76-$F$77)</f>
        <v>0.11224443231742208</v>
      </c>
      <c r="F78" s="24">
        <f>SUM(C78:E78)</f>
        <v>1.0</v>
      </c>
      <c r="G78" s="43">
        <f>MAX(ABS(C78-$C$59)/$C$59,ABS(D78-$D$59)/$D$59,ABS(E78-$E$59)/$E$59)</f>
        <v>0.04901338614413161</v>
      </c>
      <c r="H78" s="15" t="inlineStr"/>
    </row>
    <row r="79">
      <c r="B79" s="7" t="inlineStr">
        <is>
          <t>char retranché — char mesuré à 800 °C</t>
        </is>
      </c>
      <c r="C79" s="26">
        <f>$C$68*100*C31/100/Constantes!$C$7</f>
        <v>4.97216802412069</v>
      </c>
      <c r="D79" s="26">
        <f>$C$68*100*D31/100/Constantes!$C$8</f>
        <v>0.04918782585947012</v>
      </c>
      <c r="E79" s="26">
        <f>$C$68*100*F31/100/Constantes!$C$9</f>
        <v>0.13287077054782048</v>
      </c>
      <c r="F79" s="26">
        <f>SUM(C79:E79)</f>
        <v>5.154226620527981</v>
      </c>
      <c r="G79" s="15" t="inlineStr"/>
      <c r="H79" s="15" t="inlineStr"/>
    </row>
    <row r="80">
      <c r="B80" s="7" t="inlineStr">
        <is>
          <t>gaz obtenu — x_E</t>
        </is>
      </c>
      <c r="C80" s="26">
        <f>(C76-C79)/($F$76-$F$79)</f>
        <v>0.18569204832117056</v>
      </c>
      <c r="D80" s="26">
        <f>(D76-D79)/($F$76-$F$79)</f>
        <v>0.7184320665698763</v>
      </c>
      <c r="E80" s="26">
        <f>(E76-E79)/($F$76-$F$79)</f>
        <v>0.0958758851089531</v>
      </c>
      <c r="F80" s="24">
        <f>SUM(C80:E80)</f>
        <v>1.0</v>
      </c>
      <c r="G80" s="43">
        <f>MAX(ABS(C80-$C$59)/$C$59,ABS(D80-$D$59)/$D$59,ABS(E80-$E$59)/$E$59)</f>
        <v>0.10396369057053172</v>
      </c>
      <c r="H80" s="15" t="inlineStr"/>
    </row>
    <row r="81">
      <c r="B81" s="12" t="inlineStr">
        <is>
          <t>Accord à 4.9 % avec l'hypothèse de char de carbone pur, contre 10.4 % avec le char réellement mesuré. La composition du gaz vient d'une source VKI, celle de la résine et du char de la campagne [THo] : la fermeture est un VRAI contrôle, pas une tautologie. Le fait que le char pur ferme le mieux suggère que la donnée VKI a elle aussi été établie sous cette hypothèse.</t>
        </is>
      </c>
    </row>
    <row r="83">
      <c r="A83" s="20" t="inlineStr">
        <is>
          <t>&gt;</t>
        </is>
      </c>
      <c r="B83" s="20" t="inlineStr">
        <is>
          <t>Contrôle D — le motif équivalent de la résine</t>
        </is>
      </c>
      <c r="I83" s="27" t="inlineStr">
        <is>
          <t>renormalisation hors azote et comparaison aux motifs de l'onglet Constantes</t>
        </is>
      </c>
    </row>
    <row r="84">
      <c r="B84" s="6" t="inlineStr">
        <is>
          <t>Composition hors azote [% masse]</t>
        </is>
      </c>
      <c r="C84" s="6" t="inlineStr">
        <is>
          <t>C</t>
        </is>
      </c>
      <c r="D84" s="6" t="inlineStr">
        <is>
          <t>H</t>
        </is>
      </c>
      <c r="E84" s="6" t="inlineStr">
        <is>
          <t>O</t>
        </is>
      </c>
      <c r="F84" s="6" t="inlineStr">
        <is>
          <t>écart max au motif</t>
        </is>
      </c>
      <c r="G84" s="6" t="inlineStr"/>
      <c r="H84" s="6" t="inlineStr"/>
    </row>
    <row r="85">
      <c r="B85" s="7" t="inlineStr">
        <is>
          <t>ZURAM mesuré, renormalisé hors N</t>
        </is>
      </c>
      <c r="C85" s="9">
        <f>C30/(C30+D30+F30)*100</f>
        <v>79.09349037753707</v>
      </c>
      <c r="D85" s="9">
        <f>D30/(C30+D30+F30)*100</f>
        <v>6.046902934062468</v>
      </c>
      <c r="E85" s="9">
        <f>F30/(C30+D30+F30)*100</f>
        <v>14.859606688400465</v>
      </c>
      <c r="F85" s="15" t="inlineStr"/>
      <c r="G85" s="15" t="inlineStr"/>
      <c r="H85" s="15" t="inlineStr"/>
    </row>
    <row r="86">
      <c r="B86" s="7" t="inlineStr">
        <is>
          <t>phénol C6H6O</t>
        </is>
      </c>
      <c r="C86" s="61">
        <f>Constantes!$F$25</f>
        <v>76.57390583660069</v>
      </c>
      <c r="D86" s="61">
        <f>Constantes!$G$25</f>
        <v>6.426317299416659</v>
      </c>
      <c r="E86" s="61">
        <f>Constantes!$H$25</f>
        <v>16.99977686398266</v>
      </c>
      <c r="F86" s="9">
        <f>MAX(ABS(C86-$C$85),ABS(D86-$D$85),ABS(E86-$E$85))</f>
        <v>2.5195845409363784</v>
      </c>
      <c r="G86" s="15" t="inlineStr"/>
      <c r="H86" s="15" t="inlineStr"/>
    </row>
    <row r="87">
      <c r="B87" s="7" t="inlineStr">
        <is>
          <t>novolac linéaire C7H6O</t>
        </is>
      </c>
      <c r="C87" s="61">
        <f>Constantes!$F$26</f>
        <v>79.2252459387132</v>
      </c>
      <c r="D87" s="61">
        <f>Constantes!$G$26</f>
        <v>5.698993630093098</v>
      </c>
      <c r="E87" s="61">
        <f>Constantes!$H$26</f>
        <v>15.0757604311937</v>
      </c>
      <c r="F87" s="9">
        <f>MAX(ABS(C87-$C$85),ABS(D87-$D$85),ABS(E87-$E$85))</f>
        <v>0.34790930396936925</v>
      </c>
      <c r="G87" s="15" t="inlineStr"/>
      <c r="H87" s="15" t="inlineStr"/>
    </row>
    <row r="88">
      <c r="B88" s="7" t="inlineStr">
        <is>
          <t>résol saturé C7.5H6O</t>
        </is>
      </c>
      <c r="C88" s="61">
        <f>Constantes!$F$27</f>
        <v>80.33791285968455</v>
      </c>
      <c r="D88" s="61">
        <f>Constantes!$G$27</f>
        <v>5.393763460998221</v>
      </c>
      <c r="E88" s="61">
        <f>Constantes!$H$27</f>
        <v>14.268323679317218</v>
      </c>
      <c r="F88" s="9">
        <f>MAX(ABS(C88-$C$85),ABS(D88-$D$85),ABS(E88-$E$85))</f>
        <v>1.2444224821474847</v>
      </c>
      <c r="G88" s="15" t="inlineStr"/>
      <c r="H88" s="15" t="inlineStr"/>
    </row>
    <row r="89">
      <c r="B89" s="12" t="inlineStr">
        <is>
          <t>Le ZURAM tombe à 0.35 point du novolac linéaire C7H6O — contre 0.85 point du phénol C6H6O pour le TACOT. Les deux résines emploient très vraisemblablement la même chimie ; c'est la quantité de composés piégés (eau, HMTA) qui distingue les deux analyses. Combiné à l'hexamine, c'est ce qui fait déduire « novolac ».</t>
        </is>
      </c>
    </row>
    <row r="91" ht="18" customHeight="1">
      <c r="A91" s="4" t="inlineStr">
        <is>
          <t>§6 — SENSIBILITÉ</t>
        </is>
      </c>
    </row>
    <row r="92" ht="30" customHeight="1">
      <c r="B92" s="5" t="inlineStr">
        <is>
          <t>Le gaz du XML ne dépend d'AUCUNE des hypothèses de rendement ou de motif : il est mesuré directement (§3, une seule étape). Les sensibilités portent donc sur les CONTRÔLES, pas sur le résultat — c'est l'inverse du SC-1008 et du liège, où le rendement en char entre dans la chaîne de calcul du XML.</t>
        </is>
      </c>
    </row>
    <row r="93">
      <c r="B93" s="6" t="inlineStr">
        <is>
          <t>Rendement en char testé</t>
        </is>
      </c>
      <c r="C93" s="6" t="inlineStr">
        <is>
          <t>C</t>
        </is>
      </c>
      <c r="D93" s="6" t="inlineStr">
        <is>
          <t>H</t>
        </is>
      </c>
      <c r="E93" s="6" t="inlineStr">
        <is>
          <t>O</t>
        </is>
      </c>
      <c r="F93" s="6" t="inlineStr">
        <is>
          <t>écart max / XML</t>
        </is>
      </c>
      <c r="G93" s="6" t="inlineStr"/>
      <c r="H93" s="6" t="inlineStr"/>
    </row>
    <row r="94">
      <c r="B94" s="54" t="n">
        <v>0.55</v>
      </c>
      <c r="C94" s="26">
        <f>($C$76-B94*100/Constantes!$C$7)/($F$76-B94*100/Constantes!$C$7)</f>
        <v>0.21847264823068616</v>
      </c>
      <c r="D94" s="26">
        <f>$D$76/($F$76-B94*100/Constantes!$C$7)</f>
        <v>0.6767494029686206</v>
      </c>
      <c r="E94" s="26">
        <f>$E$76/($F$76-B94*100/Constantes!$C$7)</f>
        <v>0.10477794880069334</v>
      </c>
      <c r="F94" s="43">
        <f>MAX(ABS(C94-$C$59)/$C$59,ABS(D94-$D$59)/$D$59,ABS(E94-$E$59)/$E$59)</f>
        <v>0.27761782591044526</v>
      </c>
      <c r="G94" s="15" t="inlineStr"/>
      <c r="H94" s="15" t="inlineStr"/>
    </row>
    <row r="95">
      <c r="B95" s="54" t="n">
        <v>0.6</v>
      </c>
      <c r="C95" s="26">
        <f>($C$76-B95*100/Constantes!$C$7)/($F$76-B95*100/Constantes!$C$7)</f>
        <v>0.17934967446677508</v>
      </c>
      <c r="D95" s="26">
        <f>$D$76/($F$76-B95*100/Constantes!$C$7)</f>
        <v>0.7106272308874303</v>
      </c>
      <c r="E95" s="26">
        <f>$E$76/($F$76-B95*100/Constantes!$C$7)</f>
        <v>0.11002309464579478</v>
      </c>
      <c r="F95" s="43">
        <f>MAX(ABS(C95-$C$59)/$C$59,ABS(D95-$D$59)/$D$59,ABS(E95-$E$59)/$E$59)</f>
        <v>0.048828505653655346</v>
      </c>
      <c r="G95" s="15" t="inlineStr"/>
      <c r="H95" s="15" t="inlineStr"/>
    </row>
    <row r="96">
      <c r="B96" s="54" t="n">
        <v>0.619766</v>
      </c>
      <c r="C96" s="26">
        <f>($C$76-B96*100/Constantes!$C$7)/($F$76-B96*100/Constantes!$C$7)</f>
        <v>0.16278147585687297</v>
      </c>
      <c r="D96" s="26">
        <f>$D$76/($F$76-B96*100/Constantes!$C$7)</f>
        <v>0.7249741612822942</v>
      </c>
      <c r="E96" s="26">
        <f>$E$76/($F$76-B96*100/Constantes!$C$7)</f>
        <v>0.11224436286083281</v>
      </c>
      <c r="F96" s="43">
        <f>MAX(ABS(C96-$C$59)/$C$59,ABS(D96-$D$59)/$D$59,ABS(E96-$E$59)/$E$59)</f>
        <v>0.04901273701712907</v>
      </c>
      <c r="G96" s="15" t="inlineStr"/>
      <c r="H96" s="15" t="inlineStr"/>
    </row>
    <row r="97">
      <c r="B97" s="54" t="n">
        <v>0.65</v>
      </c>
      <c r="C97" s="26">
        <f>($C$76-B97*100/Constantes!$C$7)/($F$76-B97*100/Constantes!$C$7)</f>
        <v>0.13610332233528497</v>
      </c>
      <c r="D97" s="26">
        <f>$D$76/($F$76-B97*100/Constantes!$C$7)</f>
        <v>0.7480756233452229</v>
      </c>
      <c r="E97" s="26">
        <f>$E$76/($F$76-B97*100/Constantes!$C$7)</f>
        <v>0.11582105431949219</v>
      </c>
      <c r="F97" s="43">
        <f>MAX(ABS(C97-$C$59)/$C$59,ABS(D97-$D$59)/$D$59,ABS(E97-$E$59)/$E$59)</f>
        <v>0.20407413839014646</v>
      </c>
      <c r="G97" s="15" t="inlineStr"/>
      <c r="H97" s="15" t="inlineStr"/>
    </row>
    <row r="98">
      <c r="B98" s="12" t="inlineStr">
        <is>
          <t>Le minimum d'écart tombe près de la valeur du classeur — le rendement en char déduit de la microstructure est compatible avec la composition du gaz mesurée indépendamment.</t>
        </is>
      </c>
    </row>
    <row r="100" ht="18" customHeight="1">
      <c r="A100" s="4" t="inlineStr">
        <is>
          <t>§7 — RÉPONSE MATÉRIAU (n'entre PAS dans le XML)</t>
        </is>
      </c>
    </row>
    <row r="101">
      <c r="B101" s="35" t="inlineStr">
        <is>
          <t>ρ vierge [kg/m³]</t>
        </is>
      </c>
      <c r="C101" s="45">
        <f>(D36*D38+E36*E38)*1000</f>
        <v>418.99832349999997</v>
      </c>
      <c r="I101" s="12" t="inlineStr">
        <is>
          <t>'ZURAM_official'!D17 — attendu 419.0</t>
        </is>
      </c>
    </row>
    <row r="102">
      <c r="B102" s="35" t="inlineStr">
        <is>
          <t>ρ char [kg/m³]</t>
        </is>
      </c>
      <c r="C102" s="45">
        <f>(D37*D38+E37*E38)*1000</f>
        <v>337.62651099999994</v>
      </c>
      <c r="I102" s="12" t="inlineStr">
        <is>
          <t>'ZURAM_official'!E17 — attendu 337.6</t>
        </is>
      </c>
    </row>
    <row r="103">
      <c r="B103" s="35" t="inlineStr">
        <is>
          <t>fibres seules [kg/m³]</t>
        </is>
      </c>
      <c r="C103" s="45">
        <f>D36*D38*1000</f>
        <v>204.99341560000002</v>
      </c>
      <c r="I103" s="12" t="inlineStr">
        <is>
          <t>205.0 au lieu des 180 nominaux — anomalie ouverte n° 2 du classeur</t>
        </is>
      </c>
    </row>
    <row r="104">
      <c r="B104" s="35" t="inlineStr">
        <is>
          <t>résine en % de la masse vierge</t>
        </is>
      </c>
      <c r="C104" s="47">
        <f>E36*E38*1000/C101*100</f>
        <v>51.07536137910108</v>
      </c>
      <c r="I104" s="12" t="inlineStr">
        <is>
          <t>51.07 % (TACOT : 42.9 %) pour 16.3 % du volume</t>
        </is>
      </c>
    </row>
    <row r="105">
      <c r="B105" s="35" t="inlineStr">
        <is>
          <t>gaz libéré [kg/m³]</t>
        </is>
      </c>
      <c r="C105" s="45">
        <f>C101-C102</f>
        <v>81.37181250000003</v>
      </c>
      <c r="I105" s="12" t="inlineStr">
        <is>
          <t>81.4 kg/m³, soit 19.4 % de la masse vierge (TACOT : 21.4 %)</t>
        </is>
      </c>
    </row>
    <row r="106">
      <c r="B106" s="35" t="inlineStr">
        <is>
          <t>couplage k = B'g / B'c</t>
        </is>
      </c>
      <c r="C106" s="46">
        <f>(C101-C102)/C102</f>
        <v>0.24101132419663587</v>
      </c>
      <c r="I106" s="12" t="inlineStr">
        <is>
          <t>attendu 0.2410 (TACOT : 0.2727)</t>
        </is>
      </c>
    </row>
    <row r="108" ht="18" customHeight="1">
      <c r="A108" s="4" t="inlineStr">
        <is>
          <t>§8 — BLOC XML</t>
        </is>
      </c>
    </row>
    <row r="109">
      <c r="B109" s="29" t="inlineStr">
        <is>
          <t>&lt;mixture thermo_db="NASA-9"&gt;</t>
        </is>
      </c>
    </row>
    <row r="110">
      <c r="B110" s="29" t="inlineStr">
        <is>
          <t xml:space="preserve">    &lt;species&gt;</t>
        </is>
      </c>
    </row>
    <row r="111">
      <c r="B111" s="29" t="inlineStr">
        <is>
          <t xml:space="preserve">       C(gr) C H O N CH CH4 CO CO2 CN C2H C2H2,acetylene C3 C3H C4</t>
        </is>
      </c>
    </row>
    <row r="112">
      <c r="B112" s="29" t="inlineStr">
        <is>
          <t xml:space="preserve">       C4H2,butadiyne C5 HCN H2 H2O N2</t>
        </is>
      </c>
    </row>
    <row r="113">
      <c r="B113" s="29" t="inlineStr">
        <is>
          <t xml:space="preserve">    &lt;/species&gt;</t>
        </is>
      </c>
    </row>
    <row r="114">
      <c r="B114" s="29" t="inlineStr">
        <is>
          <t xml:space="preserve">    &lt;element_compositions default="BLedge"&gt;</t>
        </is>
      </c>
    </row>
    <row r="115">
      <c r="B115" s="29" t="inlineStr">
        <is>
          <t xml:space="preserve">        &lt;composition name="BLedge"&gt;           O:0.21, N:0.79            &lt;/composition&gt;</t>
        </is>
      </c>
    </row>
    <row r="116">
      <c r="B116" s="29" t="inlineStr">
        <is>
          <t xml:space="preserve">        &lt;composition name="VKIZuramPyroGas"&gt;  C:0.171, H:0.722, O:0.107  &lt;/composition&gt;</t>
        </is>
      </c>
    </row>
    <row r="117">
      <c r="B117" s="29" t="inlineStr">
        <is>
          <t xml:space="preserve">        &lt;composition name="Char"&gt;             C:1.0                     &lt;/composition&gt;</t>
        </is>
      </c>
    </row>
    <row r="118">
      <c r="B118" s="29" t="inlineStr">
        <is>
          <t xml:space="preserve">    &lt;/element_compositions&gt;</t>
        </is>
      </c>
    </row>
    <row r="119">
      <c r="B119" s="29" t="inlineStr">
        <is>
          <t>&lt;/mixture&gt;</t>
        </is>
      </c>
    </row>
  </sheetData>
  <mergeCells count="46">
    <mergeCell ref="B109:I109"/>
    <mergeCell ref="B54:I54"/>
    <mergeCell ref="A66:I66"/>
    <mergeCell ref="B81:I81"/>
    <mergeCell ref="B83:H83"/>
    <mergeCell ref="A108:I108"/>
    <mergeCell ref="A56:I56"/>
    <mergeCell ref="B115:I115"/>
    <mergeCell ref="A3:I3"/>
    <mergeCell ref="B15:H15"/>
    <mergeCell ref="B71:I71"/>
    <mergeCell ref="A21:I21"/>
    <mergeCell ref="B50:H50"/>
    <mergeCell ref="A2:I2"/>
    <mergeCell ref="B41:H41"/>
    <mergeCell ref="B39:I39"/>
    <mergeCell ref="A5:I5"/>
    <mergeCell ref="B117:I117"/>
    <mergeCell ref="B111:I111"/>
    <mergeCell ref="B16:H16"/>
    <mergeCell ref="B98:I98"/>
    <mergeCell ref="A91:I91"/>
    <mergeCell ref="B61:I61"/>
    <mergeCell ref="A100:I100"/>
    <mergeCell ref="B119:I119"/>
    <mergeCell ref="B22:H22"/>
    <mergeCell ref="B116:I116"/>
    <mergeCell ref="B18:H18"/>
    <mergeCell ref="A13:I13"/>
    <mergeCell ref="B112:I112"/>
    <mergeCell ref="B118:I118"/>
    <mergeCell ref="B67:H67"/>
    <mergeCell ref="B14:H14"/>
    <mergeCell ref="B92:I92"/>
    <mergeCell ref="B17:H17"/>
    <mergeCell ref="A49:I49"/>
    <mergeCell ref="B73:H73"/>
    <mergeCell ref="A1:I1"/>
    <mergeCell ref="B89:I89"/>
    <mergeCell ref="B114:I114"/>
    <mergeCell ref="B110:I110"/>
    <mergeCell ref="B19:H19"/>
    <mergeCell ref="B34:H34"/>
    <mergeCell ref="B32:I32"/>
    <mergeCell ref="B28:H28"/>
    <mergeCell ref="B113:I113"/>
  </mergeCells>
  <pageMargins left="0.75" right="0.75" top="1" bottom="1" header="0.5" footer="0.5"/>
</worksheet>
</file>

<file path=xl/worksheets/sheet6.xml><?xml version="1.0" encoding="utf-8"?>
<worksheet xmlns="http://schemas.openxmlformats.org/spreadsheetml/2006/main">
  <sheetPr>
    <tabColor rgb="0000B050"/>
    <outlinePr summaryBelow="1" summaryRight="1"/>
    <pageSetUpPr/>
  </sheetPr>
  <dimension ref="A1:I139"/>
  <sheetViews>
    <sheetView showGridLines="0" workbookViewId="0">
      <pane ySplit="4" topLeftCell="A5" activePane="bottomLeft" state="frozen"/>
      <selection pane="bottomLeft" activeCell="A1" sqref="A1"/>
    </sheetView>
  </sheetViews>
  <sheetFormatPr baseColWidth="8" defaultRowHeight="15"/>
  <cols>
    <col width="4.5" customWidth="1" min="1" max="1"/>
    <col width="34" customWidth="1" min="2" max="2"/>
    <col width="13" customWidth="1" min="3" max="3"/>
    <col width="13" customWidth="1" min="4" max="4"/>
    <col width="13" customWidth="1" min="5" max="5"/>
    <col width="13" customWidth="1" min="6" max="6"/>
    <col width="13" customWidth="1" min="7" max="7"/>
    <col width="13" customWidth="1" min="8" max="8"/>
    <col width="72" customWidth="1" min="9" max="9"/>
  </cols>
  <sheetData>
    <row r="1" ht="26" customHeight="1">
      <c r="A1" s="1" t="inlineStr">
        <is>
          <t>SC-1008 — résol phénol-formaldéhyde (matrice du PICA)</t>
        </is>
      </c>
    </row>
    <row r="2" ht="16" customHeight="1">
      <c r="A2" s="2" t="inlineStr">
        <is>
          <t>Gaz obtenu par FERMETURE ÉLÉMENTAIRE sur un motif chimique idéalisé, validé contre une mesure indépendante</t>
        </is>
      </c>
    </row>
    <row r="3">
      <c r="A3" s="3" t="inlineStr">
        <is>
          <t>Fichier(s) XML : data/mixtures/sc1008-air.xml · sc1008-pyrogas.xml</t>
        </is>
      </c>
    </row>
    <row r="5" ht="18" customHeight="1">
      <c r="A5" s="4" t="inlineStr">
        <is>
          <t>§0 — FICHE D'IDENTITÉ</t>
        </is>
      </c>
    </row>
    <row r="6">
      <c r="B6" s="35" t="inlineStr">
        <is>
          <t>Résine</t>
        </is>
      </c>
      <c r="C6" s="30" t="inlineStr">
        <is>
          <t>Durite™ SC-1008, Hexion / Bakelite Synthetics (ex-Borden)</t>
        </is>
      </c>
      <c r="I6" s="12" t="inlineStr">
        <is>
          <t>[Wo] J. Anal. Appl. Pyrolysis 122 (2016) 258-267, § 2.2</t>
        </is>
      </c>
    </row>
    <row r="7">
      <c r="B7" s="35" t="inlineStr">
        <is>
          <t>Type</t>
        </is>
      </c>
      <c r="C7" s="30" t="inlineStr">
        <is>
          <t>RÉSOL phénol-formaldéhyde, monocomposant, réticulant par chauffage seul</t>
        </is>
      </c>
      <c r="I7" s="12" t="inlineStr">
        <is>
          <t>excès de formaldéhyde, catalyse basique : porte déjà ses méthylols, durcit sans durcisseur</t>
        </is>
      </c>
    </row>
    <row r="8">
      <c r="B8" s="35" t="inlineStr">
        <is>
          <t>Emploi</t>
        </is>
      </c>
      <c r="C8" s="30" t="inlineStr">
        <is>
          <t>matrice du PICA, sur préforme carbone FiberForm</t>
        </is>
      </c>
      <c r="I8" s="12" t="inlineStr">
        <is>
          <t>densité PICA 0.274 g/cm³ ± 10 %, porosité 0.8 ± 10 %</t>
        </is>
      </c>
    </row>
    <row r="9">
      <c r="B9" s="35" t="inlineStr">
        <is>
          <t>Livraison</t>
        </is>
      </c>
      <c r="C9" s="30" t="inlineStr">
        <is>
          <t>20-25 % isopropanol · 11-18 % phénol libre · 0.6-2 % formaldéhyde libre</t>
        </is>
      </c>
      <c r="I9" s="12" t="inlineStr">
        <is>
          <t>[Wo] § 2.2 — le phénol libre part en région 1 sans venir du réseau</t>
        </is>
      </c>
    </row>
    <row r="10">
      <c r="B10" s="35" t="inlineStr">
        <is>
          <t>Sources</t>
        </is>
      </c>
      <c r="C10" s="30" t="inlineStr">
        <is>
          <t>[TS] Trick &amp; Saliba, Carbon 33 (1995) 1509-1515 · [Wo] Wong et al. 2016</t>
        </is>
      </c>
      <c r="I10" s="12" t="inlineStr">
        <is>
          <t>sc1008_bprime/resine_sc1008.md</t>
        </is>
      </c>
    </row>
    <row r="11">
      <c r="B11" s="35" t="inlineStr">
        <is>
          <t>Compositions du XML</t>
        </is>
      </c>
      <c r="C11" s="30" t="inlineStr">
        <is>
          <t>air (-bl) · sc1008_pyro (-py) · sc1008_char (-char, -char-elem C)</t>
        </is>
      </c>
      <c r="I11" s="12" t="inlineStr"/>
    </row>
    <row r="13" ht="18" customHeight="1">
      <c r="A13" s="4" t="inlineStr">
        <is>
          <t>§1 — HYPOTHÈSES</t>
        </is>
      </c>
    </row>
    <row r="14" ht="26" customHeight="1">
      <c r="A14" s="20" t="inlineStr">
        <is>
          <t>H1</t>
        </is>
      </c>
      <c r="B14" s="5" t="inlineStr">
        <is>
          <t>Une résine résol cuite = un cycle phénolique + ses ponts méthylène : motif C(6+b)H6O.</t>
        </is>
      </c>
      <c r="I14" s="12" t="inlineStr">
        <is>
          <t>Le nombre de ponts b n'est pas libre : le phénol a 3 sites réactifs (2 ortho + 1 para) et un pont est partagé entre 2 cycles, d'où b = 1.5 à réseau saturé.</t>
        </is>
      </c>
    </row>
    <row r="15" ht="26" customHeight="1">
      <c r="A15" s="20" t="inlineStr">
        <is>
          <t>H2</t>
        </is>
      </c>
      <c r="B15" s="5" t="inlineStr">
        <is>
          <t>PAS D'AZOTE dans le gaz — et cette fois ce n'est pas une approximation.</t>
        </is>
      </c>
      <c r="I15" s="12" t="inlineStr">
        <is>
          <t>Un résol réticule sans durcisseur : il n'y a pas d'hexaméthylènetétramine dans la formulation. Le gaz est NATIVEMENT C/H/O. L'argument que le TACOT (2.35 % N) et le ZURAM (1.4 %) doivent construire est ici sans objet.</t>
        </is>
      </c>
    </row>
    <row r="16" ht="26" customHeight="1">
      <c r="A16" s="20" t="inlineStr">
        <is>
          <t>H3</t>
        </is>
      </c>
      <c r="B16" s="5" t="inlineStr">
        <is>
          <t>Le char est du carbone pur ⇒ H et O traversent la pyrolyse sans être touchés.</t>
        </is>
      </c>
      <c r="I16" s="12" t="inlineStr">
        <is>
          <t>Conséquence remarquable : H/O(gaz) = H/O(résine) INDÉPENDAMMENT du rendement en char. C'est l'invariant du §5, un test qui ne dépend d'aucune hypothèse fragile.</t>
        </is>
      </c>
    </row>
    <row r="17" ht="26" customHeight="1">
      <c r="A17" s="20" t="inlineStr">
        <is>
          <t>H4</t>
        </is>
      </c>
      <c r="B17" s="5" t="inlineStr">
        <is>
          <t>Rendement en char Y = 0.55.</t>
        </is>
      </c>
      <c r="I17" s="12" t="inlineStr">
        <is>
          <t>Ce n'est PAS la moyenne des trois sources (0.545 / 0.55-0.60 / 0.62) : le milieu arithmétique 0.575 s'écarte de [TS] de 8.9 %. 0.55 est la seule valeur qui tombe dans la fourchette ATG ET reproduise la composition de [TS] à 1.5 %.</t>
        </is>
      </c>
    </row>
    <row r="18" ht="26" customHeight="1">
      <c r="A18" s="20" t="inlineStr">
        <is>
          <t>H5</t>
        </is>
      </c>
      <c r="B18" s="5" t="inlineStr">
        <is>
          <t>La borne haute Y = 0.62 de [Wo] est PROPRE AU PICA et ne vaut pas pour la résine seule.</t>
        </is>
      </c>
      <c r="I18" s="12" t="inlineStr">
        <is>
          <t>La préforme carbone capte des radicaux pendant la pyrolyse et relève le rendement — [Wo] l'observe directement : H2 divisé par ~5 par rapport à la résole nue.</t>
        </is>
      </c>
    </row>
    <row r="19" ht="26" customHeight="1">
      <c r="A19" s="20" t="inlineStr">
        <is>
          <t>H6</t>
        </is>
      </c>
      <c r="B19" s="5" t="inlineStr">
        <is>
          <t>Liste d'espèces = les 25 de la table B' de référence + phénol + C(gr).</t>
        </is>
      </c>
      <c r="I19" s="12" t="inlineStr">
        <is>
          <t>Le phénol et le crésol sont les produits dominants EN MASSE de la pyrolyse d'un résol ([TS] région 1 ; [Wo] table 1) : les omettre appauvrirait l'équilibre pariétal.</t>
        </is>
      </c>
    </row>
    <row r="21" ht="18" customHeight="1">
      <c r="A21" s="4" t="inlineStr">
        <is>
          <t>§2 — DONNÉES D'ENTRÉE</t>
        </is>
      </c>
    </row>
    <row r="22">
      <c r="B22" s="35" t="inlineStr">
        <is>
          <t>nombre de ponts méthylène par cycle, b</t>
        </is>
      </c>
      <c r="C22" s="37" t="n">
        <v>1.5</v>
      </c>
      <c r="I22" s="12" t="inlineStr">
        <is>
          <t>3 sites réactifs / 2 cycles par pont — cf. H1</t>
        </is>
      </c>
    </row>
    <row r="23">
      <c r="B23" s="35" t="inlineStr">
        <is>
          <t>rendement en char de la résine, Y</t>
        </is>
      </c>
      <c r="C23" s="37" t="n">
        <v>0.55</v>
      </c>
      <c r="I23" s="12" t="inlineStr">
        <is>
          <t>recoupement [TS] (0.545) et ATG SC-1008 nue (0.55-0.60) — cf. H4</t>
        </is>
      </c>
    </row>
    <row r="24">
      <c r="B24" s="35" t="inlineStr">
        <is>
          <t>composition mesurée de [TS] — C</t>
        </is>
      </c>
      <c r="C24" s="30" t="n">
        <v>0.2564</v>
      </c>
      <c r="I24" s="12" t="inlineStr">
        <is>
          <t>reconstruite au §5 depuis les tables 2 et 4 de Trick &amp; Saliba (LMS = 50/50 phénol/crésol)</t>
        </is>
      </c>
    </row>
    <row r="25">
      <c r="B25" s="35" t="inlineStr">
        <is>
          <t xml:space="preserve">                                H</t>
        </is>
      </c>
      <c r="C25" s="30" t="n">
        <v>0.6388</v>
      </c>
      <c r="I25" s="12" t="inlineStr"/>
    </row>
    <row r="26">
      <c r="B26" s="35" t="inlineStr">
        <is>
          <t xml:space="preserve">                                O</t>
        </is>
      </c>
      <c r="C26" s="30" t="n">
        <v>0.1048</v>
      </c>
      <c r="I26" s="12" t="inlineStr"/>
    </row>
    <row r="28" ht="18" customHeight="1">
      <c r="A28" s="4" t="inlineStr">
        <is>
          <t>§3 — CALCUL PAS À PAS</t>
        </is>
      </c>
    </row>
    <row r="29">
      <c r="A29" s="20" t="inlineStr">
        <is>
          <t>&gt;</t>
        </is>
      </c>
      <c r="B29" s="20" t="inlineStr">
        <is>
          <t>Étape 1 — construire le motif de la résine cuite</t>
        </is>
      </c>
      <c r="I29" s="27" t="inlineStr">
        <is>
          <t>phénol C6H6O + b·CH2O − b·H2O</t>
        </is>
      </c>
    </row>
    <row r="30">
      <c r="B30" s="6" t="inlineStr">
        <is>
          <t>Brique</t>
        </is>
      </c>
      <c r="C30" s="6" t="inlineStr">
        <is>
          <t>coefficient</t>
        </is>
      </c>
      <c r="D30" s="6" t="inlineStr">
        <is>
          <t>ν_C</t>
        </is>
      </c>
      <c r="E30" s="6" t="inlineStr">
        <is>
          <t>ν_H</t>
        </is>
      </c>
      <c r="F30" s="6" t="inlineStr">
        <is>
          <t>ν_O</t>
        </is>
      </c>
      <c r="G30" s="6" t="inlineStr"/>
      <c r="H30" s="6" t="inlineStr"/>
    </row>
    <row r="31">
      <c r="B31" s="7" t="inlineStr">
        <is>
          <t>phénol C6H6O</t>
        </is>
      </c>
      <c r="C31" s="28" t="n">
        <v>1</v>
      </c>
      <c r="D31" s="40" t="n">
        <v>6</v>
      </c>
      <c r="E31" s="40" t="n">
        <v>6</v>
      </c>
      <c r="F31" s="40" t="n">
        <v>1</v>
      </c>
      <c r="G31" s="15" t="inlineStr"/>
      <c r="H31" s="15" t="inlineStr"/>
    </row>
    <row r="32">
      <c r="B32" s="7" t="inlineStr">
        <is>
          <t>+ formaldéhyde CH2O</t>
        </is>
      </c>
      <c r="C32" s="24">
        <f>$C$22</f>
        <v>1.5</v>
      </c>
      <c r="D32" s="40" t="n">
        <v>1</v>
      </c>
      <c r="E32" s="40" t="n">
        <v>2</v>
      </c>
      <c r="F32" s="40" t="n">
        <v>1</v>
      </c>
      <c r="G32" s="15" t="inlineStr"/>
      <c r="H32" s="15" t="inlineStr"/>
    </row>
    <row r="33">
      <c r="B33" s="7" t="inlineStr">
        <is>
          <t>− eau de condensation H2O</t>
        </is>
      </c>
      <c r="C33" s="24">
        <f>-$C$22</f>
        <v>-1.5</v>
      </c>
      <c r="D33" s="40" t="n">
        <v>0</v>
      </c>
      <c r="E33" s="40" t="n">
        <v>2</v>
      </c>
      <c r="F33" s="40" t="n">
        <v>1</v>
      </c>
      <c r="G33" s="15" t="inlineStr"/>
      <c r="H33" s="15" t="inlineStr"/>
    </row>
    <row r="34">
      <c r="B34" s="13" t="inlineStr">
        <is>
          <t>MOTIF CUIT — ν_E = Σ coeff · ν</t>
        </is>
      </c>
      <c r="C34" s="15" t="inlineStr"/>
      <c r="D34" s="24">
        <f>SUMPRODUCT($C$31:$C$33,D31:D33)</f>
        <v>7.5</v>
      </c>
      <c r="E34" s="24">
        <f>SUMPRODUCT($C$31:$C$33,E31:E33)</f>
        <v>6.0</v>
      </c>
      <c r="F34" s="24">
        <f>SUMPRODUCT($C$31:$C$33,F31:F33)</f>
        <v>1.0</v>
      </c>
      <c r="G34" s="15" t="inlineStr"/>
      <c r="H34" s="15" t="inlineStr"/>
    </row>
    <row r="35">
      <c r="B35" s="12" t="inlineStr">
        <is>
          <t>Avec b = 1.5 : C7.5H6O. Noter que H et O sont RIGOUREUSEMENT insensibles à b (+2b des formaldéhydes, −2b des eaux) : seul le carbone bouge. C'est la raison profonde de l'invariant H/O du §5.</t>
        </is>
      </c>
    </row>
    <row r="36">
      <c r="A36" s="20" t="inlineStr">
        <is>
          <t>&gt;</t>
        </is>
      </c>
      <c r="B36" s="20" t="inlineStr">
        <is>
          <t>Étape 2 — masse molaire et composition massique du motif</t>
        </is>
      </c>
      <c r="I36" s="27" t="inlineStr">
        <is>
          <t>M = ν_C·M_C + ν_H·M_H + ν_O·M_O ;  w_E = ν_E·M_E / M</t>
        </is>
      </c>
    </row>
    <row r="37">
      <c r="B37" s="6" t="inlineStr"/>
      <c r="C37" s="6" t="inlineStr">
        <is>
          <t>C</t>
        </is>
      </c>
      <c r="D37" s="6" t="inlineStr">
        <is>
          <t>H</t>
        </is>
      </c>
      <c r="E37" s="6" t="inlineStr">
        <is>
          <t>O</t>
        </is>
      </c>
      <c r="F37" s="6" t="inlineStr">
        <is>
          <t>M [g/mol]</t>
        </is>
      </c>
      <c r="G37" s="6" t="inlineStr"/>
      <c r="H37" s="6" t="inlineStr"/>
    </row>
    <row r="38">
      <c r="B38" s="7" t="inlineStr">
        <is>
          <t>ν_E · M_E [g/mol]</t>
        </is>
      </c>
      <c r="C38" s="24">
        <f>D34*Constantes!$C$7</f>
        <v>90.0825</v>
      </c>
      <c r="D38" s="24">
        <f>E34*Constantes!$C$8</f>
        <v>6.048</v>
      </c>
      <c r="E38" s="24">
        <f>F34*Constantes!$C$9</f>
        <v>15.999</v>
      </c>
      <c r="F38" s="24">
        <f>SUM(C38:E38)</f>
        <v>112.1295</v>
      </c>
      <c r="G38" s="15" t="inlineStr"/>
      <c r="H38" s="15" t="inlineStr"/>
    </row>
    <row r="39">
      <c r="B39" s="7" t="inlineStr">
        <is>
          <t>w_E [% masse]</t>
        </is>
      </c>
      <c r="C39" s="9">
        <f>C38/$F$38*100</f>
        <v>80.33791285968455</v>
      </c>
      <c r="D39" s="9">
        <f>D38/$F$38*100</f>
        <v>5.393763460998221</v>
      </c>
      <c r="E39" s="9">
        <f>E38/$F$38*100</f>
        <v>14.268323679317218</v>
      </c>
      <c r="F39" s="9">
        <f>SUM(C39:E39)</f>
        <v>99.99999999999999</v>
      </c>
      <c r="G39" s="15" t="inlineStr"/>
      <c r="H39" s="15" t="inlineStr"/>
    </row>
    <row r="40">
      <c r="B40" s="12" t="inlineStr">
        <is>
          <t>Attendu : M = 112.13 g/mol, soit C 80.3 % / H 5.4 % / O 14.3 % en masse. L'écart résol (b = 1.5) / novolac (b = 1) ne vaut que 1.1 point sur C — plus PETIT que la dispersion entre deux novolacs réellement mesurés (TACOT 77.4 vs ZURAM 79.1). L'analyse C/H/O ne permet donc PAS d'identifier le type de résine ; seul l'azote le fait.</t>
        </is>
      </c>
    </row>
    <row r="41">
      <c r="A41" s="20" t="inlineStr">
        <is>
          <t>&gt;</t>
        </is>
      </c>
      <c r="B41" s="20" t="inlineStr">
        <is>
          <t>Étape 3 — fermeture élémentaire sur 100 g de résine : gaz = résine − char</t>
        </is>
      </c>
      <c r="I41" s="27" t="inlineStr">
        <is>
          <t>n_E(gaz) = n_E(résine) − n_E(char) ;  n_C(char) = Y·100 / M_C</t>
        </is>
      </c>
    </row>
    <row r="42">
      <c r="B42" s="6" t="inlineStr">
        <is>
          <t>Base 100 g de résine vierge</t>
        </is>
      </c>
      <c r="C42" s="6" t="inlineStr">
        <is>
          <t>C</t>
        </is>
      </c>
      <c r="D42" s="6" t="inlineStr">
        <is>
          <t>H</t>
        </is>
      </c>
      <c r="E42" s="6" t="inlineStr">
        <is>
          <t>O</t>
        </is>
      </c>
      <c r="F42" s="6" t="inlineStr">
        <is>
          <t>Somme</t>
        </is>
      </c>
      <c r="G42" s="6" t="inlineStr">
        <is>
          <t>masse [g]</t>
        </is>
      </c>
      <c r="H42" s="6" t="inlineStr"/>
    </row>
    <row r="43">
      <c r="B43" s="7" t="inlineStr">
        <is>
          <t>résine — moles d'atomes</t>
        </is>
      </c>
      <c r="C43" s="26">
        <f>100/$F$38*D34</f>
        <v>6.688694768102953</v>
      </c>
      <c r="D43" s="26">
        <f>100/$F$38*E34</f>
        <v>5.350955814482362</v>
      </c>
      <c r="E43" s="26">
        <f>100/$F$38*F34</f>
        <v>0.8918259690803937</v>
      </c>
      <c r="F43" s="26">
        <f>SUM(C43:E43)</f>
        <v>12.931476551665709</v>
      </c>
      <c r="G43" s="9">
        <f>C43*Constantes!$C$7+D43*Constantes!$C$8+E43*Constantes!$C$9</f>
        <v>100.0</v>
      </c>
      <c r="H43" s="15" t="inlineStr"/>
    </row>
    <row r="44">
      <c r="B44" s="7" t="inlineStr">
        <is>
          <t>char — carbone pur, Y = 0.55</t>
        </is>
      </c>
      <c r="C44" s="26">
        <f>$C$23*100/Constantes!$C$7</f>
        <v>4.579135792190493</v>
      </c>
      <c r="D44" s="26" t="n">
        <v>0</v>
      </c>
      <c r="E44" s="26" t="n">
        <v>0</v>
      </c>
      <c r="F44" s="26">
        <f>SUM(C44:E44)</f>
        <v>4.579135792190493</v>
      </c>
      <c r="G44" s="9">
        <f>$C$23*100</f>
        <v>55.00000000000001</v>
      </c>
      <c r="H44" s="15" t="inlineStr"/>
    </row>
    <row r="45">
      <c r="B45" s="7" t="inlineStr">
        <is>
          <t>gaz — moles d'atomes</t>
        </is>
      </c>
      <c r="C45" s="26">
        <f>C43-C44</f>
        <v>2.10955897591246</v>
      </c>
      <c r="D45" s="26">
        <f>D43-D44</f>
        <v>5.350955814482362</v>
      </c>
      <c r="E45" s="26">
        <f>E43-E44</f>
        <v>0.8918259690803937</v>
      </c>
      <c r="F45" s="26">
        <f>SUM(C45:E45)</f>
        <v>8.352340759475217</v>
      </c>
      <c r="G45" s="9">
        <f>F43-F44</f>
        <v>8.352340759475215</v>
      </c>
      <c r="H45" s="15" t="inlineStr"/>
    </row>
    <row r="46">
      <c r="A46" s="20" t="inlineStr">
        <is>
          <t>&gt;</t>
        </is>
      </c>
      <c r="B46" s="20" t="inlineStr">
        <is>
          <t>Étape 4 — normaliser en fractions molaires, et convertir en fractions massiques</t>
        </is>
      </c>
      <c r="I46" s="27" t="inlineStr">
        <is>
          <t>x_E = n_E / Σ n_j ;  y_E = x_E·M_E / Σ x_j·M_j</t>
        </is>
      </c>
    </row>
    <row r="47">
      <c r="B47" s="6" t="inlineStr"/>
      <c r="C47" s="6" t="inlineStr">
        <is>
          <t>C</t>
        </is>
      </c>
      <c r="D47" s="6" t="inlineStr">
        <is>
          <t>H</t>
        </is>
      </c>
      <c r="E47" s="6" t="inlineStr">
        <is>
          <t>O</t>
        </is>
      </c>
      <c r="F47" s="6" t="inlineStr">
        <is>
          <t>Somme</t>
        </is>
      </c>
      <c r="G47" s="6" t="inlineStr">
        <is>
          <t>M_gaz [g/mol]</t>
        </is>
      </c>
      <c r="H47" s="6" t="inlineStr">
        <is>
          <t>H/O</t>
        </is>
      </c>
    </row>
    <row r="48">
      <c r="B48" s="7" t="inlineStr">
        <is>
          <t>x_E (fraction molaire élémentaire)</t>
        </is>
      </c>
      <c r="C48" s="26">
        <f>C45/$F$45</f>
        <v>0.2525709901765317</v>
      </c>
      <c r="D48" s="26">
        <f>D45/$F$45</f>
        <v>0.6406534369915442</v>
      </c>
      <c r="E48" s="26">
        <f>E45/$F$45</f>
        <v>0.10677557283192403</v>
      </c>
      <c r="F48" s="24">
        <f>SUM(C48:E48)</f>
        <v>0.9999999999999999</v>
      </c>
      <c r="G48" s="24">
        <f>C48*Constantes!$C$7+D48*Constantes!$C$8+E48*Constantes!$C$9</f>
        <v>5.387711217235751</v>
      </c>
      <c r="H48" s="24">
        <f>D48/E48</f>
        <v>6.0</v>
      </c>
    </row>
    <row r="49">
      <c r="B49" s="7" t="inlineStr">
        <is>
          <t>y_E (fraction massique élémentaire)</t>
        </is>
      </c>
      <c r="C49" s="24">
        <f>C48*Constantes!$C$7/$G$48</f>
        <v>0.5630647302152124</v>
      </c>
      <c r="D49" s="24">
        <f>D48*Constantes!$C$8/$G$48</f>
        <v>0.11986141024440493</v>
      </c>
      <c r="E49" s="24">
        <f>E48*Constantes!$C$9/$G$48</f>
        <v>0.3170738595403827</v>
      </c>
      <c r="F49" s="24">
        <f>SUM(C49:E49)</f>
        <v>1.0</v>
      </c>
      <c r="G49" s="15" t="inlineStr"/>
      <c r="H49" s="15" t="inlineStr"/>
    </row>
    <row r="50">
      <c r="B50" s="12" t="inlineStr">
        <is>
          <t>La ligne massique est l'équivalent strict à déclarer si l'on écrit &lt;composition name="sc1008_pyro" type="mass"&gt;C:0.563, H:0.120, O:0.317&lt;/composition&gt;. Sans l'attribut type="mass", le parseur suppose du molaire — et le mélange serait faux.</t>
        </is>
      </c>
    </row>
    <row r="52" ht="18" customHeight="1">
      <c r="A52" s="4" t="inlineStr">
        <is>
          <t>§4 — RÉSULTAT : CE QUI ENTRE DANS LE XML</t>
        </is>
      </c>
    </row>
    <row r="53">
      <c r="B53" s="6" t="inlineStr">
        <is>
          <t>Composition élémentaire (fractions molaires)</t>
        </is>
      </c>
      <c r="C53" s="6" t="inlineStr">
        <is>
          <t>C</t>
        </is>
      </c>
      <c r="D53" s="6" t="inlineStr">
        <is>
          <t>H</t>
        </is>
      </c>
      <c r="E53" s="6" t="inlineStr">
        <is>
          <t>O</t>
        </is>
      </c>
      <c r="F53" s="6" t="inlineStr">
        <is>
          <t>Somme</t>
        </is>
      </c>
    </row>
    <row r="54">
      <c r="B54" s="7" t="inlineStr">
        <is>
          <t>calcul — chaîne complète ci-dessus</t>
        </is>
      </c>
      <c r="C54" s="26">
        <f>C48</f>
        <v>0.2525709901765317</v>
      </c>
      <c r="D54" s="26">
        <f>D48</f>
        <v>0.6406534369915442</v>
      </c>
      <c r="E54" s="26">
        <f>E48</f>
        <v>0.10677557283192403</v>
      </c>
      <c r="F54" s="24">
        <f>SUM(C54:E54)</f>
        <v>0.9999999999999999</v>
      </c>
    </row>
    <row r="55">
      <c r="B55" s="7" t="inlineStr">
        <is>
          <t>valeur portée dans le XML (sc1008_pyro)</t>
        </is>
      </c>
      <c r="C55" s="42" t="n">
        <v>0.2526</v>
      </c>
      <c r="D55" s="42" t="n">
        <v>0.6407</v>
      </c>
      <c r="E55" s="42" t="n">
        <v>0.1068</v>
      </c>
      <c r="F55" s="24">
        <f>SUM(C55:E55)</f>
        <v>1.0001</v>
      </c>
    </row>
    <row r="56">
      <c r="B56" s="7" t="inlineStr">
        <is>
          <t>écart relatif |calcul − XML| / XML</t>
        </is>
      </c>
      <c r="C56" s="43">
        <f>ABS(C54-C55)/C55</f>
        <v>0.0001148449068421133</v>
      </c>
      <c r="D56" s="43">
        <f>ABS(D54-D55)/D55</f>
        <v>7.267521219891774e-05</v>
      </c>
      <c r="E56" s="43">
        <f>ABS(E54-E55)/E55</f>
        <v>0.00022871880220952454</v>
      </c>
      <c r="F56" s="15" t="inlineStr"/>
    </row>
    <row r="57">
      <c r="B57" s="6" t="inlineStr">
        <is>
          <t>Char (sc1008_char)</t>
        </is>
      </c>
      <c r="C57" s="6" t="inlineStr">
        <is>
          <t>C</t>
        </is>
      </c>
      <c r="D57" s="6" t="inlineStr">
        <is>
          <t>H</t>
        </is>
      </c>
      <c r="E57" s="6" t="inlineStr">
        <is>
          <t>O</t>
        </is>
      </c>
      <c r="F57" s="6" t="inlineStr"/>
      <c r="G57" s="6" t="inlineStr"/>
      <c r="H57" s="6" t="inlineStr"/>
    </row>
    <row r="58">
      <c r="B58" s="7" t="inlineStr">
        <is>
          <t>composition du XML</t>
        </is>
      </c>
      <c r="C58" s="44" t="n">
        <v>1</v>
      </c>
      <c r="D58" s="11" t="inlineStr">
        <is>
          <t>—</t>
        </is>
      </c>
      <c r="E58" s="11" t="inlineStr">
        <is>
          <t>—</t>
        </is>
      </c>
      <c r="F58" s="15" t="inlineStr"/>
      <c r="G58" s="15" t="inlineStr"/>
      <c r="H58" s="15" t="inlineStr"/>
    </row>
    <row r="60" ht="18" customHeight="1">
      <c r="A60" s="4" t="inlineStr">
        <is>
          <t>§5 — CONTRÔLES ET VALIDATION CROISÉE</t>
        </is>
      </c>
    </row>
    <row r="61">
      <c r="A61" s="20" t="inlineStr">
        <is>
          <t>&gt;</t>
        </is>
      </c>
      <c r="B61" s="20" t="inlineStr">
        <is>
          <t>Contrôle A — l'invariant H/O : il ne dépend PAS du rendement en char</t>
        </is>
      </c>
      <c r="I61" s="27" t="inlineStr">
        <is>
          <t>H/O(gaz) = H/O(résine), car un char de carbone pur ne prélève que du C</t>
        </is>
      </c>
    </row>
    <row r="62">
      <c r="B62" s="6" t="inlineStr">
        <is>
          <t>Y testé</t>
        </is>
      </c>
      <c r="C62" s="6" t="inlineStr">
        <is>
          <t>C</t>
        </is>
      </c>
      <c r="D62" s="6" t="inlineStr">
        <is>
          <t>H</t>
        </is>
      </c>
      <c r="E62" s="6" t="inlineStr">
        <is>
          <t>O</t>
        </is>
      </c>
      <c r="F62" s="6" t="inlineStr">
        <is>
          <t>H/O</t>
        </is>
      </c>
      <c r="G62" s="6" t="inlineStr">
        <is>
          <t>verdict</t>
        </is>
      </c>
      <c r="H62" s="6" t="inlineStr"/>
    </row>
    <row r="63">
      <c r="B63" s="28" t="n">
        <v>0.3</v>
      </c>
      <c r="C63" s="26">
        <f>($C$43-B63*100/Constantes!$C$7)/($F$43-B63*100/Constantes!$C$7)</f>
        <v>0.4016751274634724</v>
      </c>
      <c r="D63" s="26">
        <f>$D$43/($F$43-B63*100/Constantes!$C$7)</f>
        <v>0.5128498907455951</v>
      </c>
      <c r="E63" s="26">
        <f>$E$43/($F$43-B63*100/Constantes!$C$7)</f>
        <v>0.0854749817909325</v>
      </c>
      <c r="F63" s="24">
        <f>D63/E63</f>
        <v>6.0</v>
      </c>
      <c r="G63" s="11" t="inlineStr">
        <is>
          <t>constant</t>
        </is>
      </c>
      <c r="H63" s="15" t="inlineStr"/>
    </row>
    <row r="64">
      <c r="B64" s="28" t="n">
        <v>0.5</v>
      </c>
      <c r="C64" s="26">
        <f>($C$43-B64*100/Constantes!$C$7)/($F$43-B64*100/Constantes!$C$7)</f>
        <v>0.2880547187745433</v>
      </c>
      <c r="D64" s="26">
        <f>$D$43/($F$43-B64*100/Constantes!$C$7)</f>
        <v>0.6102388124789629</v>
      </c>
      <c r="E64" s="26">
        <f>$E$43/($F$43-B64*100/Constantes!$C$7)</f>
        <v>0.1017064687464938</v>
      </c>
      <c r="F64" s="24">
        <f>D64/E64</f>
        <v>6.000000000000001</v>
      </c>
      <c r="G64" s="11" t="inlineStr">
        <is>
          <t>constant</t>
        </is>
      </c>
      <c r="H64" s="15" t="inlineStr"/>
    </row>
    <row r="65">
      <c r="B65" s="28" t="n">
        <v>0.55</v>
      </c>
      <c r="C65" s="26">
        <f>($C$43-B65*100/Constantes!$C$7)/($F$43-B65*100/Constantes!$C$7)</f>
        <v>0.25257099017653173</v>
      </c>
      <c r="D65" s="26">
        <f>$D$43/($F$43-B65*100/Constantes!$C$7)</f>
        <v>0.6406534369915443</v>
      </c>
      <c r="E65" s="26">
        <f>$E$43/($F$43-B65*100/Constantes!$C$7)</f>
        <v>0.10677557283192406</v>
      </c>
      <c r="F65" s="24">
        <f>D65/E65</f>
        <v>6.0</v>
      </c>
      <c r="G65" s="11" t="inlineStr">
        <is>
          <t>constant</t>
        </is>
      </c>
      <c r="H65" s="15" t="inlineStr"/>
    </row>
    <row r="66">
      <c r="B66" s="28" t="n">
        <v>0.7</v>
      </c>
      <c r="C66" s="26">
        <f>($C$43-B66*100/Constantes!$C$7)/($F$43-B66*100/Constantes!$C$7)</f>
        <v>0.12116639846721267</v>
      </c>
      <c r="D66" s="26">
        <f>$D$43/($F$43-B66*100/Constantes!$C$7)</f>
        <v>0.7532859441709606</v>
      </c>
      <c r="E66" s="26">
        <f>$E$43/($F$43-B66*100/Constantes!$C$7)</f>
        <v>0.12554765736182677</v>
      </c>
      <c r="F66" s="24">
        <f>D66/E66</f>
        <v>6.0</v>
      </c>
      <c r="G66" s="11" t="inlineStr">
        <is>
          <t>constant</t>
        </is>
      </c>
      <c r="H66" s="15" t="inlineStr"/>
    </row>
    <row r="67">
      <c r="B67" s="12" t="inlineStr">
        <is>
          <t>Bornes : aucun motif phénolique concevable ne descend sous H/O = 3.6 (résol prépolymère non cuit C7.5H9O2.5), et ajouter de l'eau ne sauve rien — C7.5H6O·(H2O)w donne H/O = (6+2w)/(1+w), qui tend vers 2.0 PAR LE HAUT. C'est ce test qui a fait supprimer du dépôt le jeu PICA hérité de Goldstein, à H/O = 1.93 : il n'était reproductible par AUCUNE résine phénolique, à AUCUN degré de cuisson, avec AUCUNE quantité d'eau ajoutée. Valeurs du dépôt : tacot_pyro 5.90 · cph70_pyro 5.90 · VKIZuramPyroGas 6.75 · sc1008_pyro 6.00 · [TS] mesuré 6.10 · cork_pyro 4.89 (hors test : le liège n'est pas un phénolique).</t>
        </is>
      </c>
    </row>
    <row r="69">
      <c r="A69" s="20" t="inlineStr">
        <is>
          <t>&gt;</t>
        </is>
      </c>
      <c r="B69" s="20" t="inlineStr">
        <is>
          <t>Contrôle B — reconstruction INDÉPENDANTE de la mesure de [TS] : ni motif, ni rendement en char n'y entrent</t>
        </is>
      </c>
      <c r="I69" s="27" t="inlineStr">
        <is>
          <t>les tables 2 et 4 de [TS] se recoupent : f_ij·N_i / (f_kj·N_k) = d_ij / d_kj</t>
        </is>
      </c>
    </row>
    <row r="70">
      <c r="B70" s="6" t="inlineStr">
        <is>
          <t>Espèce</t>
        </is>
      </c>
      <c r="C70" s="6" t="inlineStr">
        <is>
          <t>table 2 — R1 [%]</t>
        </is>
      </c>
      <c r="D70" s="6" t="inlineStr">
        <is>
          <t>table 2 — R2 [%]</t>
        </is>
      </c>
      <c r="E70" s="6" t="inlineStr">
        <is>
          <t>table 2 — R3 [%]</t>
        </is>
      </c>
      <c r="F70" s="6" t="inlineStr">
        <is>
          <t>table 4 — R1 [%]</t>
        </is>
      </c>
      <c r="G70" s="6" t="inlineStr">
        <is>
          <t>table 4 — R2 [%]</t>
        </is>
      </c>
      <c r="H70" s="6" t="inlineStr">
        <is>
          <t>table 4 — R3 [%]</t>
        </is>
      </c>
    </row>
    <row r="71">
      <c r="B71" s="7" t="inlineStr">
        <is>
          <t>H2</t>
        </is>
      </c>
      <c r="C71" s="36" t="n">
        <v>0</v>
      </c>
      <c r="D71" s="36" t="n">
        <v>59.4</v>
      </c>
      <c r="E71" s="36" t="n">
        <v>85.7</v>
      </c>
      <c r="F71" s="36" t="n">
        <v>0</v>
      </c>
      <c r="G71" s="36" t="n">
        <v>57.1</v>
      </c>
      <c r="H71" s="36" t="n">
        <v>42.9</v>
      </c>
    </row>
    <row r="72">
      <c r="B72" s="7" t="inlineStr">
        <is>
          <t>H2O</t>
        </is>
      </c>
      <c r="C72" s="36" t="n">
        <v>49.8</v>
      </c>
      <c r="D72" s="36" t="n">
        <v>12.7</v>
      </c>
      <c r="E72" s="36" t="n">
        <v>4.7</v>
      </c>
      <c r="F72" s="36" t="n">
        <v>66.3</v>
      </c>
      <c r="G72" s="36" t="n">
        <v>28.2</v>
      </c>
      <c r="H72" s="36" t="n">
        <v>5.5</v>
      </c>
    </row>
    <row r="73">
      <c r="B73" s="7" t="inlineStr">
        <is>
          <t>LMS (phénol + crésol)</t>
        </is>
      </c>
      <c r="C73" s="36" t="n">
        <v>50.1</v>
      </c>
      <c r="D73" s="36" t="n">
        <v>0</v>
      </c>
      <c r="E73" s="36" t="n">
        <v>0</v>
      </c>
      <c r="F73" s="36" t="n">
        <v>100</v>
      </c>
      <c r="G73" s="36" t="n">
        <v>0</v>
      </c>
      <c r="H73" s="36" t="n">
        <v>0</v>
      </c>
    </row>
    <row r="74">
      <c r="B74" s="7" t="inlineStr">
        <is>
          <t>CO</t>
        </is>
      </c>
      <c r="C74" s="36" t="n">
        <v>0</v>
      </c>
      <c r="D74" s="36" t="n">
        <v>12.7</v>
      </c>
      <c r="E74" s="36" t="n">
        <v>9.5</v>
      </c>
      <c r="F74" s="36" t="n">
        <v>0</v>
      </c>
      <c r="G74" s="36" t="n">
        <v>71.90000000000001</v>
      </c>
      <c r="H74" s="36" t="n">
        <v>28.1</v>
      </c>
    </row>
    <row r="75">
      <c r="B75" s="7" t="inlineStr">
        <is>
          <t>CH4</t>
        </is>
      </c>
      <c r="C75" s="36" t="n">
        <v>0</v>
      </c>
      <c r="D75" s="36" t="n">
        <v>14.9</v>
      </c>
      <c r="E75" s="36" t="n">
        <v>0</v>
      </c>
      <c r="F75" s="36" t="n">
        <v>0</v>
      </c>
      <c r="G75" s="36" t="n">
        <v>100</v>
      </c>
      <c r="H75" s="36" t="n">
        <v>0</v>
      </c>
    </row>
    <row r="76">
      <c r="B76" s="7" t="inlineStr">
        <is>
          <t>CO2</t>
        </is>
      </c>
      <c r="C76" s="36" t="n">
        <v>0.1</v>
      </c>
      <c r="D76" s="36" t="n">
        <v>0.2</v>
      </c>
      <c r="E76" s="36" t="n">
        <v>0.1</v>
      </c>
      <c r="F76" s="36" t="n">
        <v>20.5</v>
      </c>
      <c r="G76" s="36" t="n">
        <v>66.8</v>
      </c>
      <c r="H76" s="36" t="n">
        <v>12.7</v>
      </c>
    </row>
    <row r="77">
      <c r="B77" s="7" t="inlineStr">
        <is>
          <t>C2H6</t>
        </is>
      </c>
      <c r="C77" s="36" t="n">
        <v>0</v>
      </c>
      <c r="D77" s="36" t="n">
        <v>0.1</v>
      </c>
      <c r="E77" s="36" t="n">
        <v>0</v>
      </c>
      <c r="F77" s="36" t="n">
        <v>0</v>
      </c>
      <c r="G77" s="36" t="n">
        <v>100</v>
      </c>
      <c r="H77" s="36" t="n">
        <v>0</v>
      </c>
    </row>
    <row r="78">
      <c r="B78" s="12" t="inlineStr">
        <is>
          <t>Table 2 = composition molaire DANS chaque région réactionnelle ; table 4 = distribution de chaque espèce SUR les régions (% du total). Régions : R1 300-550 °C, R2 400-800 °C, R3 560-900 °C. Aucune des deux ne donne la composition globale — mais elles se recoupent.</t>
        </is>
      </c>
    </row>
    <row r="79">
      <c r="B79" s="6" t="inlineStr">
        <is>
          <t>Estimation de N2/N3 par espèce commune</t>
        </is>
      </c>
      <c r="C79" s="6" t="inlineStr">
        <is>
          <t>valeur</t>
        </is>
      </c>
      <c r="D79" s="6" t="inlineStr">
        <is>
          <t>retenue ?</t>
        </is>
      </c>
      <c r="E79" s="6" t="inlineStr"/>
      <c r="F79" s="6" t="inlineStr"/>
      <c r="G79" s="6" t="inlineStr"/>
      <c r="H79" s="6" t="inlineStr"/>
    </row>
    <row r="80">
      <c r="B80" s="7" t="inlineStr">
        <is>
          <t>via H2O</t>
        </is>
      </c>
      <c r="C80" s="26">
        <f>(G72/H72)*(E72/D72)</f>
        <v>1.897494631352899</v>
      </c>
      <c r="D80" s="11" t="inlineStr">
        <is>
          <t>oui</t>
        </is>
      </c>
      <c r="E80" s="15" t="inlineStr"/>
      <c r="F80" s="15" t="inlineStr"/>
      <c r="G80" s="15" t="inlineStr"/>
      <c r="H80" s="15" t="inlineStr"/>
    </row>
    <row r="81">
      <c r="B81" s="7" t="inlineStr">
        <is>
          <t>via H2</t>
        </is>
      </c>
      <c r="C81" s="26">
        <f>(G71/H71)*(E71/D71)</f>
        <v>1.9203181778939358</v>
      </c>
      <c r="D81" s="11" t="inlineStr">
        <is>
          <t>oui</t>
        </is>
      </c>
      <c r="E81" s="15" t="inlineStr"/>
      <c r="F81" s="15" t="inlineStr"/>
      <c r="G81" s="15" t="inlineStr"/>
      <c r="H81" s="15" t="inlineStr"/>
    </row>
    <row r="82">
      <c r="B82" s="7" t="inlineStr">
        <is>
          <t>via CO</t>
        </is>
      </c>
      <c r="C82" s="26">
        <f>(G74/H74)*(E74/D74)</f>
        <v>1.9140022977554854</v>
      </c>
      <c r="D82" s="11" t="inlineStr">
        <is>
          <t>oui</t>
        </is>
      </c>
      <c r="E82" s="15" t="inlineStr"/>
      <c r="F82" s="15" t="inlineStr"/>
      <c r="G82" s="15" t="inlineStr"/>
      <c r="H82" s="15" t="inlineStr"/>
    </row>
    <row r="83">
      <c r="B83" s="7" t="inlineStr">
        <is>
          <t>via CO2</t>
        </is>
      </c>
      <c r="C83" s="26">
        <f>(G76/H76)*(E76/D76)</f>
        <v>2.62992125984252</v>
      </c>
      <c r="D83" s="11" t="inlineStr">
        <is>
          <t>écartée : CO2 pèse 0.1-0.2 % dans la table 2, l'arrondi y domine le signal</t>
        </is>
      </c>
      <c r="E83" s="15" t="inlineStr"/>
      <c r="F83" s="15" t="inlineStr"/>
      <c r="G83" s="15" t="inlineStr"/>
      <c r="H83" s="15" t="inlineStr"/>
    </row>
    <row r="84">
      <c r="B84" s="13" t="inlineStr">
        <is>
          <t>moyenne des trois retenues</t>
        </is>
      </c>
      <c r="C84" s="26">
        <f>AVERAGE(C80:C82)</f>
        <v>1.91060503566744</v>
      </c>
      <c r="D84" s="11" t="inlineStr">
        <is>
          <t>accord à 1.2 %</t>
        </is>
      </c>
      <c r="E84" s="15" t="inlineStr"/>
      <c r="F84" s="15" t="inlineStr"/>
      <c r="G84" s="15" t="inlineStr"/>
      <c r="H84" s="15" t="inlineStr"/>
    </row>
    <row r="85">
      <c r="B85" s="7" t="inlineStr">
        <is>
          <t>N1/N2 via H2O (seule espèce commune à R1 et R2)</t>
        </is>
      </c>
      <c r="C85" s="26">
        <f>(F72/G72)*(D72/C72)</f>
        <v>0.5995684867128087</v>
      </c>
      <c r="D85" s="15" t="inlineStr"/>
      <c r="E85" s="15" t="inlineStr"/>
      <c r="F85" s="15" t="inlineStr"/>
      <c r="G85" s="15" t="inlineStr"/>
      <c r="H85" s="15" t="inlineStr"/>
    </row>
    <row r="86">
      <c r="B86" s="6" t="inlineStr">
        <is>
          <t>Tailles relatives des régions (N3 = 1)</t>
        </is>
      </c>
      <c r="C86" s="6" t="inlineStr">
        <is>
          <t>N1</t>
        </is>
      </c>
      <c r="D86" s="6" t="inlineStr">
        <is>
          <t>N2</t>
        </is>
      </c>
      <c r="E86" s="6" t="inlineStr">
        <is>
          <t>N3</t>
        </is>
      </c>
      <c r="F86" s="6" t="inlineStr"/>
      <c r="G86" s="6" t="inlineStr"/>
      <c r="H86" s="6" t="inlineStr"/>
    </row>
    <row r="87">
      <c r="B87" s="7" t="inlineStr">
        <is>
          <t>N_i</t>
        </is>
      </c>
      <c r="C87" s="26">
        <f>C85*C84</f>
        <v>1.145538569940999</v>
      </c>
      <c r="D87" s="26">
        <f>C84</f>
        <v>1.91060503566744</v>
      </c>
      <c r="E87" s="21" t="n">
        <v>1</v>
      </c>
      <c r="F87" s="15" t="inlineStr"/>
      <c r="G87" s="15" t="inlineStr"/>
      <c r="H87" s="15" t="inlineStr"/>
    </row>
    <row r="88">
      <c r="B88" s="6" t="inlineStr">
        <is>
          <t>Composition moléculaire globale reconstruite</t>
        </is>
      </c>
      <c r="C88" s="6" t="inlineStr">
        <is>
          <t>n_j = Σ_i N_i·f_ij</t>
        </is>
      </c>
      <c r="D88" s="6" t="inlineStr">
        <is>
          <t>x_j</t>
        </is>
      </c>
      <c r="E88" s="6" t="inlineStr">
        <is>
          <t>ν_C</t>
        </is>
      </c>
      <c r="F88" s="6" t="inlineStr">
        <is>
          <t>ν_H</t>
        </is>
      </c>
      <c r="G88" s="6" t="inlineStr">
        <is>
          <t>ν_O</t>
        </is>
      </c>
      <c r="H88" s="6" t="inlineStr"/>
    </row>
    <row r="89">
      <c r="B89" s="7" t="inlineStr">
        <is>
          <t>H2</t>
        </is>
      </c>
      <c r="C89" s="24">
        <f>SUMPRODUCT($C$87:$E$87,C71:E71)</f>
        <v>199.18993911864595</v>
      </c>
      <c r="D89" s="26">
        <f>C89/$C$96</f>
        <v>0.49108206830553425</v>
      </c>
      <c r="E89" s="28" t="n">
        <v>0</v>
      </c>
      <c r="F89" s="28" t="n">
        <v>2</v>
      </c>
      <c r="G89" s="28" t="n">
        <v>0</v>
      </c>
      <c r="H89" s="15" t="inlineStr"/>
    </row>
    <row r="90">
      <c r="B90" s="7" t="inlineStr">
        <is>
          <t>H2O</t>
        </is>
      </c>
      <c r="C90" s="24">
        <f>SUMPRODUCT($C$87:$E$87,C72:E72)</f>
        <v>86.01250473603824</v>
      </c>
      <c r="D90" s="26">
        <f>C90/$C$96</f>
        <v>0.21205488044631493</v>
      </c>
      <c r="E90" s="28" t="n">
        <v>0</v>
      </c>
      <c r="F90" s="28" t="n">
        <v>2</v>
      </c>
      <c r="G90" s="28" t="n">
        <v>1</v>
      </c>
      <c r="H90" s="15" t="inlineStr"/>
    </row>
    <row r="91">
      <c r="B91" s="7" t="inlineStr">
        <is>
          <t>LMS (phénol + crésol)</t>
        </is>
      </c>
      <c r="C91" s="24">
        <f>SUMPRODUCT($C$87:$E$87,C73:E73)</f>
        <v>57.39148235404405</v>
      </c>
      <c r="D91" s="26">
        <f>C91/$C$96</f>
        <v>0.14149272790709067</v>
      </c>
      <c r="E91" s="28" t="n">
        <v>6.5</v>
      </c>
      <c r="F91" s="28" t="n">
        <v>7</v>
      </c>
      <c r="G91" s="28" t="n">
        <v>1</v>
      </c>
      <c r="H91" s="15" t="inlineStr"/>
    </row>
    <row r="92">
      <c r="B92" s="7" t="inlineStr">
        <is>
          <t>CO</t>
        </is>
      </c>
      <c r="C92" s="24">
        <f>SUMPRODUCT($C$87:$E$87,C74:E74)</f>
        <v>33.76468395297648</v>
      </c>
      <c r="D92" s="26">
        <f>C92/$C$96</f>
        <v>0.08324331492181386</v>
      </c>
      <c r="E92" s="28" t="n">
        <v>1</v>
      </c>
      <c r="F92" s="28" t="n">
        <v>0</v>
      </c>
      <c r="G92" s="28" t="n">
        <v>1</v>
      </c>
      <c r="H92" s="15" t="inlineStr"/>
    </row>
    <row r="93">
      <c r="B93" s="7" t="inlineStr">
        <is>
          <t>CH4</t>
        </is>
      </c>
      <c r="C93" s="24">
        <f>SUMPRODUCT($C$87:$E$87,C75:E75)</f>
        <v>28.468015031444857</v>
      </c>
      <c r="D93" s="26">
        <f>C93/$C$96</f>
        <v>0.07018492883753441</v>
      </c>
      <c r="E93" s="28" t="n">
        <v>1</v>
      </c>
      <c r="F93" s="28" t="n">
        <v>4</v>
      </c>
      <c r="G93" s="28" t="n">
        <v>0</v>
      </c>
      <c r="H93" s="15" t="inlineStr"/>
    </row>
    <row r="94">
      <c r="B94" s="7" t="inlineStr">
        <is>
          <t>CO2</t>
        </is>
      </c>
      <c r="C94" s="24">
        <f>SUMPRODUCT($C$87:$E$87,C76:E76)</f>
        <v>0.596674864127588</v>
      </c>
      <c r="D94" s="26">
        <f>C94/$C$96</f>
        <v>0.0014710397908559358</v>
      </c>
      <c r="E94" s="28" t="n">
        <v>1</v>
      </c>
      <c r="F94" s="28" t="n">
        <v>0</v>
      </c>
      <c r="G94" s="28" t="n">
        <v>2</v>
      </c>
      <c r="H94" s="15" t="inlineStr"/>
    </row>
    <row r="95">
      <c r="B95" s="7" t="inlineStr">
        <is>
          <t>C2H6</t>
        </is>
      </c>
      <c r="C95" s="24">
        <f>SUMPRODUCT($C$87:$E$87,C77:E77)</f>
        <v>0.191060503566744</v>
      </c>
      <c r="D95" s="26">
        <f>C95/$C$96</f>
        <v>0.00047103979085593567</v>
      </c>
      <c r="E95" s="28" t="n">
        <v>2</v>
      </c>
      <c r="F95" s="28" t="n">
        <v>6</v>
      </c>
      <c r="G95" s="28" t="n">
        <v>0</v>
      </c>
      <c r="H95" s="15" t="inlineStr"/>
    </row>
    <row r="96">
      <c r="B96" s="13" t="inlineStr">
        <is>
          <t>SOMME</t>
        </is>
      </c>
      <c r="C96" s="24">
        <f>SUM(C89:C95)</f>
        <v>405.6143605608439</v>
      </c>
      <c r="D96" s="24">
        <f>SUM(D89:D95)</f>
        <v>1.0</v>
      </c>
      <c r="E96" s="15" t="inlineStr"/>
      <c r="F96" s="15" t="inlineStr"/>
      <c r="G96" s="15" t="inlineStr"/>
      <c r="H96" s="15" t="inlineStr"/>
    </row>
    <row r="97">
      <c r="B97" s="12" t="inlineStr">
        <is>
          <t>ν du LMS : phénol C6H6O et crésol C7H8O ne sont pas résolus par [TS]. L'hypothèse 50/50 donne C6.5H7O — c'est LA seule hypothèse vraiment libre de ce contrôle. Sensibilité : 100 % phénol → H/O 5.77 · 50/50 → 6.10 · 100 % crésol → 6.42. L'invariant H/O ≈ 6 tient sur toute la plage.</t>
        </is>
      </c>
    </row>
    <row r="98">
      <c r="B98" s="6" t="inlineStr">
        <is>
          <t>[TS] reconstruit — composition élémentaire</t>
        </is>
      </c>
      <c r="C98" s="6" t="inlineStr">
        <is>
          <t>C</t>
        </is>
      </c>
      <c r="D98" s="6" t="inlineStr">
        <is>
          <t>H</t>
        </is>
      </c>
      <c r="E98" s="6" t="inlineStr">
        <is>
          <t>O</t>
        </is>
      </c>
      <c r="F98" s="6" t="inlineStr">
        <is>
          <t>Somme</t>
        </is>
      </c>
      <c r="G98" s="6" t="inlineStr">
        <is>
          <t>H/O</t>
        </is>
      </c>
      <c r="H98" s="6" t="inlineStr">
        <is>
          <t>écart / XML</t>
        </is>
      </c>
    </row>
    <row r="99">
      <c r="B99" s="7" t="inlineStr">
        <is>
          <t>n_E = Σ_j ν_E,j · x_j</t>
        </is>
      </c>
      <c r="C99" s="26">
        <f>SUMPRODUCT($D$89:$D$95,E89:E95)</f>
        <v>1.0755440945280055</v>
      </c>
      <c r="D99" s="26">
        <f>SUMPRODUCT($D$89:$D$95,F89:F95)</f>
        <v>2.6802889469486058</v>
      </c>
      <c r="E99" s="26">
        <f>SUMPRODUCT($D$89:$D$95,G89:G95)</f>
        <v>0.43973300285693134</v>
      </c>
      <c r="F99" s="26">
        <f>SUM(C99:E99)</f>
        <v>4.1955660443335425</v>
      </c>
      <c r="G99" s="15" t="inlineStr"/>
      <c r="H99" s="15" t="inlineStr"/>
    </row>
    <row r="100">
      <c r="B100" s="7" t="inlineStr">
        <is>
          <t>x_E</t>
        </is>
      </c>
      <c r="C100" s="26">
        <f>C99/$F$99</f>
        <v>0.25635255962198866</v>
      </c>
      <c r="D100" s="26">
        <f>D99/$F$99</f>
        <v>0.638838459132006</v>
      </c>
      <c r="E100" s="26">
        <f>E99/$F$99</f>
        <v>0.1048089812460054</v>
      </c>
      <c r="F100" s="24">
        <f>SUM(C100:E100)</f>
        <v>1.0</v>
      </c>
      <c r="G100" s="24">
        <f>D100/E100</f>
        <v>6.095264466243957</v>
      </c>
      <c r="H100" s="43">
        <f>MAX(ABS(C100-$C$55)/$C$55,ABS(D100-$D$55)/$D$55,ABS(E100-$E$55)/$E$55)</f>
        <v>0.01864249769657865</v>
      </c>
    </row>
    <row r="101">
      <c r="B101" s="12" t="inlineStr">
        <is>
          <t>DEUX CHAÎNES DE RAISONNEMENT ENTIÈREMENT DISJOINTES — l'une partant d'une mesure de gaz déconvoluée en régions réactionnelles, l'autre d'un motif chimique idéalisé et d'un bilan de masse — convergent à 2 % : 1.5 % sur C, 0.3 % sur H, 1.9 % sur O. C'est la validation centrale de cette mise en données.</t>
        </is>
      </c>
    </row>
    <row r="103">
      <c r="A103" s="20" t="inlineStr">
        <is>
          <t>&gt;</t>
        </is>
      </c>
      <c r="B103" s="20" t="inlineStr">
        <is>
          <t>Contrôle C — pourquoi [Wo] n'est PAS utilisé comme composition élémentaire</t>
        </is>
      </c>
      <c r="I103" s="27" t="inlineStr">
        <is>
          <t>pourtant la mesure la plus directe : SC-1008 réel, 16 espèces, 20 paliers</t>
        </is>
      </c>
    </row>
    <row r="104">
      <c r="B104" s="6" t="inlineStr">
        <is>
          <t>Traitement de la donnée [Wo]</t>
        </is>
      </c>
      <c r="C104" s="6" t="inlineStr">
        <is>
          <t>C</t>
        </is>
      </c>
      <c r="D104" s="6" t="inlineStr">
        <is>
          <t>H</t>
        </is>
      </c>
      <c r="E104" s="6" t="inlineStr">
        <is>
          <t>O</t>
        </is>
      </c>
      <c r="F104" s="6" t="inlineStr">
        <is>
          <t>H/O</t>
        </is>
      </c>
      <c r="G104" s="6" t="inlineStr">
        <is>
          <t>masse [mg/100 mg]</t>
        </is>
      </c>
      <c r="H104" s="6" t="inlineStr"/>
    </row>
    <row r="105">
      <c r="B105" s="7" t="inlineStr">
        <is>
          <t>brut, table 1 intégrée</t>
        </is>
      </c>
      <c r="C105" s="28" t="n">
        <v>0.12</v>
      </c>
      <c r="D105" s="28" t="n">
        <v>0.642</v>
      </c>
      <c r="E105" s="28" t="n">
        <v>0.238</v>
      </c>
      <c r="F105" s="9">
        <f>D105/E105</f>
        <v>2.697478991596639</v>
      </c>
      <c r="G105" s="55" t="n">
        <v>24.5</v>
      </c>
      <c r="H105" s="15" t="inlineStr"/>
    </row>
    <row r="106">
      <c r="B106" s="7" t="inlineStr">
        <is>
          <t>A : − eau à T ≤ 664 K</t>
        </is>
      </c>
      <c r="C106" s="28" t="n">
        <v>0.138</v>
      </c>
      <c r="D106" s="28" t="n">
        <v>0.639</v>
      </c>
      <c r="E106" s="28" t="n">
        <v>0.223</v>
      </c>
      <c r="F106" s="9">
        <f>D106/E106</f>
        <v>2.8654708520179373</v>
      </c>
      <c r="G106" s="55" t="n">
        <v>21.2</v>
      </c>
      <c r="H106" s="15" t="inlineStr"/>
    </row>
    <row r="107">
      <c r="B107" s="7" t="inlineStr">
        <is>
          <t>B : + eau &gt; 850 K (attribution de [Wo])</t>
        </is>
      </c>
      <c r="C107" s="28" t="n">
        <v>0.222</v>
      </c>
      <c r="D107" s="28" t="n">
        <v>0.622</v>
      </c>
      <c r="E107" s="28" t="n">
        <v>0.156</v>
      </c>
      <c r="F107" s="9">
        <f>D107/E107</f>
        <v>3.9871794871794872</v>
      </c>
      <c r="G107" s="55" t="n">
        <v>13</v>
      </c>
      <c r="H107" s="15" t="inlineStr"/>
    </row>
    <row r="108">
      <c r="B108" s="7" t="inlineStr">
        <is>
          <t>C : calage sur la balance</t>
        </is>
      </c>
      <c r="C108" s="28" t="n">
        <v>0.154</v>
      </c>
      <c r="D108" s="28" t="n">
        <v>0.635</v>
      </c>
      <c r="E108" s="28" t="n">
        <v>0.211</v>
      </c>
      <c r="F108" s="9">
        <f>D108/E108</f>
        <v>3.0094786729857823</v>
      </c>
      <c r="G108" s="55" t="n">
        <v>19</v>
      </c>
      <c r="H108" s="15" t="inlineStr"/>
    </row>
    <row r="109">
      <c r="B109" s="12" t="inlineStr">
        <is>
          <t>Aucun traitement ne remonte à H/O = 6 : la fermeture de [Wo] n'est pas assurée. Trois causes, toutes documentées par les auteurs — (a) PICA est fortement hygroscopique et le GC totalise 24.5 mg contre 19 mg à la balance, l'excédent valant exactement 0.306 mmol d'eau ; (b) le GC est limité à M &lt; 400 g/mol et 35 % du carbone échappe à la mesure (les aromatiques ne pèsent que 3 % des moles mais 55 % du carbone mesuré) ; (c) composite ≠ résine. [Wo] reste la meilleure source pour la SPÉCIATION et le RENDEMENT EN CHAR, pas pour la composition élémentaire.</t>
        </is>
      </c>
    </row>
    <row r="111" ht="18" customHeight="1">
      <c r="A111" s="4" t="inlineStr">
        <is>
          <t>§6 — SENSIBILITÉ AU RENDEMENT EN CHAR</t>
        </is>
      </c>
    </row>
    <row r="112">
      <c r="B112" s="6" t="inlineStr">
        <is>
          <t>Y testé</t>
        </is>
      </c>
      <c r="C112" s="6" t="inlineStr">
        <is>
          <t>C</t>
        </is>
      </c>
      <c r="D112" s="6" t="inlineStr">
        <is>
          <t>H</t>
        </is>
      </c>
      <c r="E112" s="6" t="inlineStr">
        <is>
          <t>O</t>
        </is>
      </c>
      <c r="F112" s="6" t="inlineStr">
        <is>
          <t>écart sur C / [TS]</t>
        </is>
      </c>
      <c r="G112" s="6" t="inlineStr">
        <is>
          <t>source de la valeur</t>
        </is>
      </c>
      <c r="H112" s="6" t="inlineStr"/>
    </row>
    <row r="113">
      <c r="B113" s="28" t="n">
        <v>0.5</v>
      </c>
      <c r="C113" s="26">
        <f>($C$43-B113*100/Constantes!$C$7)/($F$43-B113*100/Constantes!$C$7)</f>
        <v>0.2880547187745433</v>
      </c>
      <c r="D113" s="26">
        <f>$D$43/($F$43-B113*100/Constantes!$C$7)</f>
        <v>0.6102388124789629</v>
      </c>
      <c r="E113" s="26">
        <f>$E$43/($F$43-B113*100/Constantes!$C$7)</f>
        <v>0.1017064687464938</v>
      </c>
      <c r="F113" s="43">
        <f>ABS(C113-$C$24)/$C$24</f>
        <v>0.123458341554381</v>
      </c>
      <c r="G113" s="11" t="inlineStr">
        <is>
          <t>trop bas — aucune source</t>
        </is>
      </c>
      <c r="H113" s="15" t="inlineStr"/>
    </row>
    <row r="114">
      <c r="B114" s="28" t="n">
        <v>0.545</v>
      </c>
      <c r="C114" s="26">
        <f>($C$43-B114*100/Constantes!$C$7)/($F$43-B114*100/Constantes!$C$7)</f>
        <v>0.2562777411699788</v>
      </c>
      <c r="D114" s="26">
        <f>$D$43/($F$43-B114*100/Constantes!$C$7)</f>
        <v>0.6374762218543039</v>
      </c>
      <c r="E114" s="26">
        <f>$E$43/($F$43-B114*100/Constantes!$C$7)</f>
        <v>0.10624603697571731</v>
      </c>
      <c r="F114" s="43">
        <f>ABS(C114-$C$24)/$C$24</f>
        <v>0.000476828510223107</v>
      </c>
      <c r="G114" s="11" t="inlineStr">
        <is>
          <t>[TS], via la composition du gaz reconstruite</t>
        </is>
      </c>
      <c r="H114" s="15" t="inlineStr"/>
    </row>
    <row r="115">
      <c r="B115" s="28" t="n">
        <v>0.55</v>
      </c>
      <c r="C115" s="26">
        <f>($C$43-B115*100/Constantes!$C$7)/($F$43-B115*100/Constantes!$C$7)</f>
        <v>0.25257099017653173</v>
      </c>
      <c r="D115" s="26">
        <f>$D$43/($F$43-B115*100/Constantes!$C$7)</f>
        <v>0.6406534369915443</v>
      </c>
      <c r="E115" s="26">
        <f>$E$43/($F$43-B115*100/Constantes!$C$7)</f>
        <v>0.10677557283192406</v>
      </c>
      <c r="F115" s="43">
        <f>ABS(C115-$C$24)/$C$24</f>
        <v>0.01493373566095276</v>
      </c>
      <c r="G115" s="11" t="inlineStr">
        <is>
          <t>RETENU — fourchette ATG ET accord [TS]</t>
        </is>
      </c>
      <c r="H115" s="15" t="inlineStr"/>
    </row>
    <row r="116">
      <c r="B116" s="28" t="n">
        <v>0.575</v>
      </c>
      <c r="C116" s="26">
        <f>($C$43-B116*100/Constantes!$C$7)/($F$43-B116*100/Constantes!$C$7)</f>
        <v>0.23346883115210684</v>
      </c>
      <c r="D116" s="26">
        <f>$D$43/($F$43-B116*100/Constantes!$C$7)</f>
        <v>0.657026716155337</v>
      </c>
      <c r="E116" s="26">
        <f>$E$43/($F$43-B116*100/Constantes!$C$7)</f>
        <v>0.10950445269255617</v>
      </c>
      <c r="F116" s="43">
        <f>ABS(C116-$C$24)/$C$24</f>
        <v>0.08943513591221987</v>
      </c>
      <c r="G116" s="11" t="inlineStr">
        <is>
          <t>milieu arithmétique des trois sources</t>
        </is>
      </c>
      <c r="H116" s="15" t="inlineStr"/>
    </row>
    <row r="117">
      <c r="B117" s="28" t="n">
        <v>0.6</v>
      </c>
      <c r="C117" s="26">
        <f>($C$43-B117*100/Constantes!$C$7)/($F$43-B117*100/Constantes!$C$7)</f>
        <v>0.2133646701309297</v>
      </c>
      <c r="D117" s="26">
        <f>$D$43/($F$43-B117*100/Constantes!$C$7)</f>
        <v>0.6742588541734889</v>
      </c>
      <c r="E117" s="26">
        <f>$E$43/($F$43-B117*100/Constantes!$C$7)</f>
        <v>0.11237647569558147</v>
      </c>
      <c r="F117" s="43">
        <f>ABS(C117-$C$24)/$C$24</f>
        <v>0.16784450026938505</v>
      </c>
      <c r="G117" s="11" t="inlineStr">
        <is>
          <t>borne haute ATG</t>
        </is>
      </c>
      <c r="H117" s="15" t="inlineStr"/>
    </row>
    <row r="118">
      <c r="B118" s="28" t="n">
        <v>0.62</v>
      </c>
      <c r="C118" s="26">
        <f>($C$43-B118*100/Constantes!$C$7)/($F$43-B118*100/Constantes!$C$7)</f>
        <v>0.19650578401729143</v>
      </c>
      <c r="D118" s="26">
        <f>$D$43/($F$43-B118*100/Constantes!$C$7)</f>
        <v>0.6887093279851788</v>
      </c>
      <c r="E118" s="26">
        <f>$E$43/($F$43-B118*100/Constantes!$C$7)</f>
        <v>0.1147848879975298</v>
      </c>
      <c r="F118" s="43">
        <f>ABS(C118-$C$24)/$C$24</f>
        <v>0.2335967862040116</v>
      </c>
      <c r="G118" s="11" t="inlineStr">
        <is>
          <t>[Wo] sur PICA — propre au composite, cf. H5</t>
        </is>
      </c>
      <c r="H118" s="15" t="inlineStr"/>
    </row>
    <row r="119">
      <c r="B119" s="12" t="inlineStr">
        <is>
          <t>Le rendement en char est ici DANS la chaîne de calcul du XML (contrairement au TACOT et au ZURAM, où le gaz est mesuré directement) : ±0.05 sur Y déplace le carbone du gaz de ~12 %. C'est le paramètre à mesurer en priorité pour cette résine.</t>
        </is>
      </c>
    </row>
    <row r="121" ht="18" customHeight="1">
      <c r="A121" s="4" t="inlineStr">
        <is>
          <t>§7 — RÉPONSE MATÉRIAU (n'entre PAS dans le XML)</t>
        </is>
      </c>
    </row>
    <row r="122">
      <c r="B122" s="35" t="inlineStr">
        <is>
          <t>densité du PICA [g/cm³]</t>
        </is>
      </c>
      <c r="C122" s="30" t="n">
        <v>0.274</v>
      </c>
      <c r="I122" s="12" t="inlineStr">
        <is>
          <t>[Wo] § 2.2, ± 10 % ; porosité 0.8 ± 10 %</t>
        </is>
      </c>
    </row>
    <row r="123">
      <c r="B123" s="35" t="inlineStr">
        <is>
          <t>fraction massique de résine dans le PICA</t>
        </is>
      </c>
      <c r="C123" s="37" t="n">
        <v>0.5</v>
      </c>
      <c r="I123" s="12" t="inlineStr">
        <is>
          <t>[Wo] § 3.2 — la préforme carbone ne perd pas de masse</t>
        </is>
      </c>
    </row>
    <row r="124">
      <c r="B124" s="35" t="inlineStr">
        <is>
          <t>perte de masse du PICA à 1250 K</t>
        </is>
      </c>
      <c r="C124" s="37" t="n">
        <v>0.19</v>
      </c>
      <c r="I124" s="12" t="inlineStr">
        <is>
          <t>[Wo] § 3.2 (balance ; 17 % à l'ATG)</t>
        </is>
      </c>
    </row>
    <row r="125">
      <c r="B125" s="35" t="inlineStr">
        <is>
          <t>⇒ rendement en char de la résine DANS le PICA</t>
        </is>
      </c>
      <c r="C125" s="46">
        <f>($C$123-$C$124)/$C$123</f>
        <v>0.62</v>
      </c>
      <c r="I125" s="12" t="inlineStr">
        <is>
          <t>(50 − 19)/50 = 0.62 — relevé par la capture de radicaux sur la préforme (H5)</t>
        </is>
      </c>
    </row>
    <row r="126">
      <c r="B126" s="35" t="inlineStr">
        <is>
          <t>couplage k = B'g/B'c du PICA</t>
        </is>
      </c>
      <c r="C126" s="46">
        <f>$C$124/(1-$C$124)</f>
        <v>0.2345679012345679</v>
      </c>
      <c r="I126" s="12" t="inlineStr">
        <is>
          <t>k = m_gaz/m_char = 0.19/0.81 — calculé sur les MASSES</t>
        </is>
      </c>
    </row>
    <row r="128" ht="18" customHeight="1">
      <c r="A128" s="4" t="inlineStr">
        <is>
          <t>§8 — BLOC XML</t>
        </is>
      </c>
    </row>
    <row r="129">
      <c r="B129" s="29" t="inlineStr">
        <is>
          <t>&lt;mixture thermo_db="NASA-9"&gt;</t>
        </is>
      </c>
    </row>
    <row r="130">
      <c r="B130" s="29" t="inlineStr">
        <is>
          <t xml:space="preserve">    &lt;species&gt;</t>
        </is>
      </c>
    </row>
    <row r="131">
      <c r="B131" s="29" t="inlineStr">
        <is>
          <t xml:space="preserve">       C H O N CH4 CN CO CO2 C2 C2H C2H2,acetylene C3 C4 C4H2,butadiyne C5</t>
        </is>
      </c>
    </row>
    <row r="132">
      <c r="B132" s="29" t="inlineStr">
        <is>
          <t xml:space="preserve">       HCN H2 H2O N2 CH2OH CNN CNC CNCOCN C6H6 C6H5OH,phenol HNC C(gr)</t>
        </is>
      </c>
    </row>
    <row r="133">
      <c r="B133" s="29" t="inlineStr">
        <is>
          <t xml:space="preserve">    &lt;/species&gt;</t>
        </is>
      </c>
    </row>
    <row r="134">
      <c r="B134" s="29" t="inlineStr">
        <is>
          <t xml:space="preserve">    &lt;element_compositions default="air"&gt;</t>
        </is>
      </c>
    </row>
    <row r="135">
      <c r="B135" s="29" t="inlineStr">
        <is>
          <t xml:space="preserve">        &lt;composition name="air"&gt;N:0.79, O:0.21&lt;/composition&gt;</t>
        </is>
      </c>
    </row>
    <row r="136">
      <c r="B136" s="29" t="inlineStr">
        <is>
          <t xml:space="preserve">        &lt;composition name="sc1008_pyro"&gt;C:0.2526, H:0.6407, O:0.1068&lt;/composition&gt;</t>
        </is>
      </c>
    </row>
    <row r="137">
      <c r="B137" s="29" t="inlineStr">
        <is>
          <t xml:space="preserve">        &lt;composition name="sc1008_char"&gt;C:1.0&lt;/composition&gt;</t>
        </is>
      </c>
    </row>
    <row r="138">
      <c r="B138" s="29" t="inlineStr">
        <is>
          <t xml:space="preserve">    &lt;/element_compositions&gt;</t>
        </is>
      </c>
    </row>
    <row r="139">
      <c r="B139" s="29" t="inlineStr">
        <is>
          <t>&lt;/mixture&gt;</t>
        </is>
      </c>
    </row>
  </sheetData>
  <mergeCells count="45">
    <mergeCell ref="B97:I97"/>
    <mergeCell ref="B135:I135"/>
    <mergeCell ref="A128:I128"/>
    <mergeCell ref="B138:I138"/>
    <mergeCell ref="B129:I129"/>
    <mergeCell ref="B109:I109"/>
    <mergeCell ref="B134:I134"/>
    <mergeCell ref="A3:I3"/>
    <mergeCell ref="B15:H15"/>
    <mergeCell ref="B131:I131"/>
    <mergeCell ref="A21:I21"/>
    <mergeCell ref="B36:H36"/>
    <mergeCell ref="A2:I2"/>
    <mergeCell ref="B130:I130"/>
    <mergeCell ref="B41:H41"/>
    <mergeCell ref="A5:I5"/>
    <mergeCell ref="B16:H16"/>
    <mergeCell ref="B136:I136"/>
    <mergeCell ref="B67:I67"/>
    <mergeCell ref="B103:H103"/>
    <mergeCell ref="B101:I101"/>
    <mergeCell ref="B132:I132"/>
    <mergeCell ref="B46:H46"/>
    <mergeCell ref="A52:I52"/>
    <mergeCell ref="B119:I119"/>
    <mergeCell ref="B78:I78"/>
    <mergeCell ref="B18:H18"/>
    <mergeCell ref="A121:I121"/>
    <mergeCell ref="A28:I28"/>
    <mergeCell ref="A13:I13"/>
    <mergeCell ref="A111:I111"/>
    <mergeCell ref="B137:I137"/>
    <mergeCell ref="B40:I40"/>
    <mergeCell ref="B61:H61"/>
    <mergeCell ref="B14:H14"/>
    <mergeCell ref="B17:H17"/>
    <mergeCell ref="B139:I139"/>
    <mergeCell ref="A60:I60"/>
    <mergeCell ref="B133:I133"/>
    <mergeCell ref="A1:I1"/>
    <mergeCell ref="B69:H69"/>
    <mergeCell ref="B29:H29"/>
    <mergeCell ref="B19:H19"/>
    <mergeCell ref="B35:I35"/>
    <mergeCell ref="B50:I50"/>
  </mergeCells>
  <pageMargins left="0.75" right="0.75" top="1" bottom="1" header="0.5" footer="0.5"/>
</worksheet>
</file>

<file path=xl/worksheets/sheet7.xml><?xml version="1.0" encoding="utf-8"?>
<worksheet xmlns="http://schemas.openxmlformats.org/spreadsheetml/2006/main">
  <sheetPr>
    <tabColor rgb="007030A0"/>
    <outlinePr summaryBelow="1" summaryRight="1"/>
    <pageSetUpPr/>
  </sheetPr>
  <dimension ref="A1:I124"/>
  <sheetViews>
    <sheetView showGridLines="0" workbookViewId="0">
      <pane ySplit="4" topLeftCell="A5" activePane="bottomLeft" state="frozen"/>
      <selection pane="bottomLeft" activeCell="A1" sqref="A1"/>
    </sheetView>
  </sheetViews>
  <sheetFormatPr baseColWidth="8" defaultRowHeight="15"/>
  <cols>
    <col width="4.5" customWidth="1" min="1" max="1"/>
    <col width="34" customWidth="1" min="2" max="2"/>
    <col width="13" customWidth="1" min="3" max="3"/>
    <col width="13" customWidth="1" min="4" max="4"/>
    <col width="13" customWidth="1" min="5" max="5"/>
    <col width="13" customWidth="1" min="6" max="6"/>
    <col width="13" customWidth="1" min="7" max="7"/>
    <col width="13" customWidth="1" min="8" max="8"/>
    <col width="72" customWidth="1" min="9" max="9"/>
  </cols>
  <sheetData>
    <row r="1" ht="26" customHeight="1">
      <c r="A1" s="1" t="inlineStr">
        <is>
          <t>MX-4926 — carbone/phénolique chargé noir de carbone</t>
        </is>
      </c>
    </row>
    <row r="2" ht="16" customHeight="1">
      <c r="A2" s="2" t="inlineStr">
        <is>
          <t>Matrice SC-1008 : le gaz est HÉRITÉ · démontre que le taux de charge n'entre pas dans le XML, et que la fermeture Σw = 1 tronque une des plages annoncées</t>
        </is>
      </c>
    </row>
    <row r="3">
      <c r="A3" s="3" t="inlineStr">
        <is>
          <t>Fichier(s) XML : data/mixtures/mx4926-air.xml</t>
        </is>
      </c>
    </row>
    <row r="5" ht="18" customHeight="1">
      <c r="A5" s="4" t="inlineStr">
        <is>
          <t>§0 — FICHE D'IDENTITÉ</t>
        </is>
      </c>
    </row>
    <row r="6">
      <c r="B6" s="35" t="inlineStr">
        <is>
          <t>Matériau</t>
        </is>
      </c>
      <c r="C6" s="30" t="inlineStr">
        <is>
          <t>MX-4926 — carbone/phénolique chargé</t>
        </is>
      </c>
      <c r="I6" s="12" t="inlineStr">
        <is>
          <t>matériau de tuyère de moteur à propergol solide</t>
        </is>
      </c>
    </row>
    <row r="7">
      <c r="B7" s="35" t="inlineStr">
        <is>
          <t>Renfort</t>
        </is>
      </c>
      <c r="C7" s="30" t="inlineStr">
        <is>
          <t>fibres de carbone ex-rayon (ex-cellulose), tissu satin de 5 ou de 8</t>
        </is>
      </c>
      <c r="I7" s="12" t="inlineStr">
        <is>
          <t>le satin accommode les formes complexes et tient la stabilité dimensionnelle</t>
        </is>
      </c>
    </row>
    <row r="8">
      <c r="B8" s="35" t="inlineStr">
        <is>
          <t>Matrice</t>
        </is>
      </c>
      <c r="C8" s="30" t="inlineStr">
        <is>
          <t>résol phénol-formaldéhyde SC-1008 — IDENTIQUE au PICA</t>
        </is>
      </c>
      <c r="I8" s="12" t="inlineStr">
        <is>
          <t>cf. onglet SC-1008 §0 ; liant à haut rendement en char</t>
        </is>
      </c>
    </row>
    <row r="9">
      <c r="B9" s="35" t="inlineStr">
        <is>
          <t>Charge</t>
        </is>
      </c>
      <c r="C9" s="30" t="inlineStr">
        <is>
          <t>noir de carbone</t>
        </is>
      </c>
      <c r="I9" s="12" t="inlineStr">
        <is>
          <t>optimise l'isolation thermique et la formation du char</t>
        </is>
      </c>
    </row>
    <row r="10">
      <c r="B10" s="35" t="inlineStr">
        <is>
          <t>Source du gaz</t>
        </is>
      </c>
      <c r="C10" s="30" t="inlineStr">
        <is>
          <t>route C, HÉRITÉE du SC-1008 (résine inchangée)</t>
        </is>
      </c>
      <c r="I10" s="12" t="inlineStr">
        <is>
          <t>mx4926_bprime/composition_mx4926.md §2.1</t>
        </is>
      </c>
    </row>
    <row r="11">
      <c r="B11" s="35" t="inlineStr">
        <is>
          <t>Compositions du XML</t>
        </is>
      </c>
      <c r="C11" s="30" t="inlineStr">
        <is>
          <t>air (-bl) · mx4926_pyro (-py) · mx4926_char (-char, -char-elem C)</t>
        </is>
      </c>
      <c r="I11" s="12" t="inlineStr">
        <is>
          <t>mx4926_bprime/README.md</t>
        </is>
      </c>
    </row>
    <row r="13" ht="18" customHeight="1">
      <c r="A13" s="4" t="inlineStr">
        <is>
          <t>§1 — HYPOTHÈSES</t>
        </is>
      </c>
    </row>
    <row r="14" ht="26" customHeight="1">
      <c r="A14" s="20" t="inlineStr">
        <is>
          <t>H1</t>
        </is>
      </c>
      <c r="B14" s="5" t="inlineStr">
        <is>
          <t>La matrice est RIGOUREUSEMENT le SC-1008 de l'onglet précédent : même motif C7.5H6O, même rendement en char.</t>
        </is>
      </c>
      <c r="I14" s="12" t="inlineStr">
        <is>
          <t>C'est la seule chose dont dépend la composition du gaz. Tout le §3 de l'onglet SC-1008 s'applique tel quel et n'est PAS refait ici.</t>
        </is>
      </c>
    </row>
    <row r="15" ht="26" customHeight="1">
      <c r="A15" s="20" t="inlineStr">
        <is>
          <t>H2</t>
        </is>
      </c>
      <c r="B15" s="5" t="inlineStr">
        <is>
          <t>Le renfort ex-rayon ne dégaze pas : une fibre de carbone est déjà le produit d'une pyrolyse.</t>
        </is>
      </c>
      <c r="I15" s="12" t="inlineStr">
        <is>
          <t>Perte de masse nulle jusqu'au domaine de sublimation. Contre-exemple : le liège, qui pyrolyse — son onglet doit alors fermer sur DEUX constituants.</t>
        </is>
      </c>
    </row>
    <row r="16" ht="26" customHeight="1">
      <c r="A16" s="20" t="inlineStr">
        <is>
          <t>H3</t>
        </is>
      </c>
      <c r="B16" s="5" t="inlineStr">
        <is>
          <t>Le noir de carbone est inerte et ne dégaze pas non plus.</t>
        </is>
      </c>
      <c r="I16" s="12" t="inlineStr">
        <is>
          <t>Carbone quasi pur (97-99 % C). Du point de vue du bilan de surface il se comporte exactement comme des fibres.</t>
        </is>
      </c>
    </row>
    <row r="17" ht="26" customHeight="1">
      <c r="A17" s="20" t="inlineStr">
        <is>
          <t>H4</t>
        </is>
      </c>
      <c r="B17" s="5" t="inlineStr">
        <is>
          <t>Les trois constituants carbonisent vers le carbone pur ⇒ char C:1.0 quelles que soient les proportions.</t>
        </is>
      </c>
      <c r="I17" s="12" t="inlineStr">
        <is>
          <t>La pondération n_E(char) = Σ_i (m_char,i/M_i)·ν_E,i se réduit à C:1.0 dès que tous les constituants donnent le même élément.</t>
        </is>
      </c>
    </row>
    <row r="18" ht="26" customHeight="1">
      <c r="A18" s="20" t="inlineStr">
        <is>
          <t>H5</t>
        </is>
      </c>
      <c r="B18" s="5" t="inlineStr">
        <is>
          <t>Aucune grandeur volumique n'entre dans le bilan de surface.</t>
        </is>
      </c>
      <c r="I18" s="12" t="inlineStr">
        <is>
          <t>Le bilan est écrit sur des fractions massiques élémentaires, donc normalisées : ni ρ, ni porosité (Constantes §4).</t>
        </is>
      </c>
    </row>
    <row r="19" ht="26" customHeight="1">
      <c r="A19" s="20" t="inlineStr">
        <is>
          <t>H6</t>
        </is>
      </c>
      <c r="B19" s="5" t="inlineStr">
        <is>
          <t>Les trois plages de composition annoncées doivent se refermer à 100 %.</t>
        </is>
      </c>
      <c r="I19" s="12" t="inlineStr">
        <is>
          <t>Elles sont données indépendamment les unes des autres, mais ne peuvent pas l'être : c'est l'objet de l'étape 1 du §3.</t>
        </is>
      </c>
    </row>
    <row r="21" ht="18" customHeight="1">
      <c r="A21" s="4" t="inlineStr">
        <is>
          <t>§2 — DONNÉES D'ENTRÉE</t>
        </is>
      </c>
    </row>
    <row r="22">
      <c r="B22" s="6" t="inlineStr">
        <is>
          <t>Fractions MASSIQUES annoncées</t>
        </is>
      </c>
      <c r="C22" s="6" t="inlineStr">
        <is>
          <t>borne basse</t>
        </is>
      </c>
      <c r="D22" s="6" t="inlineStr">
        <is>
          <t>borne haute</t>
        </is>
      </c>
      <c r="E22" s="6" t="inlineStr"/>
      <c r="F22" s="6" t="inlineStr"/>
      <c r="G22" s="6" t="inlineStr"/>
      <c r="H22" s="6" t="inlineStr"/>
    </row>
    <row r="23">
      <c r="B23" s="7" t="inlineStr">
        <is>
          <t>renfort — fibres de carbone ex-rayon</t>
        </is>
      </c>
      <c r="C23" s="51" t="n">
        <v>0.41</v>
      </c>
      <c r="D23" s="51" t="n">
        <v>0.5600000000000001</v>
      </c>
      <c r="E23" s="15" t="inlineStr"/>
      <c r="F23" s="15" t="inlineStr"/>
      <c r="G23" s="15" t="inlineStr"/>
      <c r="H23" s="15" t="inlineStr"/>
    </row>
    <row r="24">
      <c r="B24" s="7" t="inlineStr">
        <is>
          <t>matrice — résol SC-1008</t>
        </is>
      </c>
      <c r="C24" s="51" t="n">
        <v>0.31</v>
      </c>
      <c r="D24" s="51" t="n">
        <v>0.37</v>
      </c>
      <c r="E24" s="15" t="inlineStr"/>
      <c r="F24" s="15" t="inlineStr"/>
      <c r="G24" s="15" t="inlineStr"/>
      <c r="H24" s="15" t="inlineStr"/>
    </row>
    <row r="25">
      <c r="B25" s="7" t="inlineStr">
        <is>
          <t>charge — noir de carbone</t>
        </is>
      </c>
      <c r="C25" s="51" t="n">
        <v>0.11</v>
      </c>
      <c r="D25" s="51" t="n">
        <v>0.16</v>
      </c>
      <c r="E25" s="15" t="inlineStr"/>
      <c r="F25" s="15" t="inlineStr"/>
      <c r="G25" s="15" t="inlineStr"/>
      <c r="H25" s="15" t="inlineStr"/>
    </row>
    <row r="26">
      <c r="B26" s="13" t="inlineStr">
        <is>
          <t>SOMME</t>
        </is>
      </c>
      <c r="C26" s="23">
        <f>SUM(C23:C25)</f>
        <v>0.83</v>
      </c>
      <c r="D26" s="23">
        <f>SUM(D23:D25)</f>
        <v>1.09</v>
      </c>
      <c r="E26" s="15" t="inlineStr"/>
      <c r="F26" s="15" t="inlineStr"/>
      <c r="G26" s="15" t="inlineStr"/>
      <c r="H26" s="15" t="inlineStr"/>
    </row>
    <row r="27">
      <c r="B27" s="12" t="inlineStr">
        <is>
          <t>Ces deux sommes sont le point de départ de tout l'onglet : 0.830 et 1.090. Elles encadrent 1 sans le valoir — les trois plages ne sont donc pas indépendantes.</t>
        </is>
      </c>
    </row>
    <row r="28">
      <c r="B28" s="35" t="inlineStr">
        <is>
          <t>rendement en char de la RÉSINE, Y</t>
        </is>
      </c>
      <c r="C28" s="62">
        <f>'SC-1008'!C23</f>
        <v>0.55</v>
      </c>
      <c r="I28" s="12" t="inlineStr">
        <is>
          <t>lien vers l'onglet SC-1008 §2 : 0.55, recoupement [TS] et ATG</t>
        </is>
      </c>
    </row>
    <row r="29">
      <c r="B29" s="35" t="inlineStr">
        <is>
          <t>ρ intrinsèque fibres [kg/m³]</t>
        </is>
      </c>
      <c r="C29" s="30" t="n">
        <v>1600</v>
      </c>
      <c r="I29" s="12" t="inlineStr">
        <is>
          <t>fibres ex-cellulose — Description!A11 du classeur TACOT 3.0 ; le rayon EST une cellulose régénérée</t>
        </is>
      </c>
    </row>
    <row r="30">
      <c r="B30" s="35" t="inlineStr">
        <is>
          <t>ρ intrinsèque résol cuit [kg/m³]</t>
        </is>
      </c>
      <c r="C30" s="30" t="n">
        <v>1250</v>
      </c>
      <c r="I30" s="12" t="inlineStr">
        <is>
          <t>valeur usuelle d'un phénolique cuit (1200-1300)</t>
        </is>
      </c>
    </row>
    <row r="31">
      <c r="B31" s="35" t="inlineStr">
        <is>
          <t>ρ intrinsèque noir de carbone [kg/m³]</t>
        </is>
      </c>
      <c r="C31" s="30" t="n">
        <v>1800</v>
      </c>
      <c r="I31" s="12" t="inlineStr">
        <is>
          <t>valeur usuelle (1800-2100)</t>
        </is>
      </c>
    </row>
    <row r="32">
      <c r="B32" s="35" t="inlineStr">
        <is>
          <t>densité publiée du MX-4926 [kg/m³]</t>
        </is>
      </c>
      <c r="C32" s="37" t="n">
        <v>1450</v>
      </c>
      <c r="I32" s="12" t="inlineStr">
        <is>
          <t>≈ 1.45 g/cm³ — sert au contrôle C du §5, pas au calcul</t>
        </is>
      </c>
    </row>
    <row r="34" ht="18" customHeight="1">
      <c r="A34" s="4" t="inlineStr">
        <is>
          <t>§3 — CALCUL PAS À PAS</t>
        </is>
      </c>
    </row>
    <row r="35">
      <c r="A35" s="20" t="inlineStr">
        <is>
          <t>&gt;</t>
        </is>
      </c>
      <c r="B35" s="20" t="inlineStr">
        <is>
          <t>Étape 1 — FERMETURE : les plages effectives ne sont pas les plages annoncées</t>
        </is>
      </c>
      <c r="I35" s="27" t="inlineStr">
        <is>
          <t>w_i,min_eff = MAX(w_i,min ; 1 − Σ_{j≠i} w_j,max)   et symétriquement</t>
        </is>
      </c>
    </row>
    <row r="36">
      <c r="B36" s="6" t="inlineStr">
        <is>
          <t>Plages EFFECTIVES après fermeture</t>
        </is>
      </c>
      <c r="C36" s="6" t="inlineStr">
        <is>
          <t>min</t>
        </is>
      </c>
      <c r="D36" s="6" t="inlineStr">
        <is>
          <t>max</t>
        </is>
      </c>
      <c r="E36" s="6" t="inlineStr">
        <is>
          <t>annoncé min</t>
        </is>
      </c>
      <c r="F36" s="6" t="inlineStr">
        <is>
          <t>annoncé max</t>
        </is>
      </c>
      <c r="G36" s="6" t="inlineStr">
        <is>
          <t>largeur perdue</t>
        </is>
      </c>
      <c r="H36" s="6" t="inlineStr"/>
    </row>
    <row r="37">
      <c r="B37" s="7" t="inlineStr">
        <is>
          <t>renfort</t>
        </is>
      </c>
      <c r="C37" s="24">
        <f>MAX(C23,1-D24-D25)</f>
        <v>0.47</v>
      </c>
      <c r="D37" s="24">
        <f>MIN(D23,1-C24-C25)</f>
        <v>0.56</v>
      </c>
      <c r="E37" s="25">
        <f>C23</f>
        <v>0.41</v>
      </c>
      <c r="F37" s="25">
        <f>D23</f>
        <v>0.56</v>
      </c>
      <c r="G37" s="23">
        <f>(D23-C23)-(D37-C37)</f>
        <v>0.06</v>
      </c>
      <c r="H37" s="15" t="inlineStr"/>
    </row>
    <row r="38">
      <c r="B38" s="7" t="inlineStr">
        <is>
          <t>matrice</t>
        </is>
      </c>
      <c r="C38" s="24">
        <f>MAX(C24,1-D23-D25)</f>
        <v>0.31</v>
      </c>
      <c r="D38" s="24">
        <f>MIN(D24,1-C23-C25)</f>
        <v>0.37</v>
      </c>
      <c r="E38" s="25">
        <f>C24</f>
        <v>0.31</v>
      </c>
      <c r="F38" s="25">
        <f>D24</f>
        <v>0.37</v>
      </c>
      <c r="G38" s="23">
        <f>(D24-C24)-(D38-C38)</f>
        <v>0.0</v>
      </c>
      <c r="H38" s="15" t="inlineStr"/>
    </row>
    <row r="39">
      <c r="B39" s="7" t="inlineStr">
        <is>
          <t>charge</t>
        </is>
      </c>
      <c r="C39" s="24">
        <f>MAX(C25,1-D23-D24)</f>
        <v>0.11</v>
      </c>
      <c r="D39" s="24">
        <f>MIN(D25,1-C23-C24)</f>
        <v>0.16</v>
      </c>
      <c r="E39" s="25">
        <f>C25</f>
        <v>0.11</v>
      </c>
      <c r="F39" s="25">
        <f>D25</f>
        <v>0.16</v>
      </c>
      <c r="G39" s="23">
        <f>(D25-C25)-(D39-C39)</f>
        <v>0.0</v>
      </c>
      <c r="H39" s="15" t="inlineStr"/>
    </row>
    <row r="40">
      <c r="B40" s="12" t="inlineStr">
        <is>
          <t>Une seule ligne a une largeur perdue non nulle : le RENFORT, dont la borne basse passe de 41 % à 47 %. Pour descendre à 41 % de fibres il faudrait 59 % de résine + charge, alors que le maximum admissible est 37 + 16 = 53 %. Les 41 % annoncés ne sont atteignables avec AUCUN couple (résine, charge) admissible. Les plages de la matrice et de la charge survivent intactes — et c'est la matrice qui pilote toute la suite (étape 4).</t>
        </is>
      </c>
    </row>
    <row r="41">
      <c r="A41" s="20" t="inlineStr">
        <is>
          <t>&gt;</t>
        </is>
      </c>
      <c r="B41" s="20" t="inlineStr">
        <is>
          <t>Étape 2 — composition retenue : le centroïde du domaine admissible</t>
        </is>
      </c>
      <c r="I41" s="27" t="inlineStr">
        <is>
          <t>centroïde d'AIRE du polygone (5 sommets), pas une moyenne de grille</t>
        </is>
      </c>
    </row>
    <row r="42">
      <c r="B42" s="6" t="inlineStr">
        <is>
          <t>Composition retenue (fractions massiques)</t>
        </is>
      </c>
      <c r="C42" s="6" t="inlineStr">
        <is>
          <t>renfort</t>
        </is>
      </c>
      <c r="D42" s="6" t="inlineStr">
        <is>
          <t>matrice</t>
        </is>
      </c>
      <c r="E42" s="6" t="inlineStr">
        <is>
          <t>charge</t>
        </is>
      </c>
      <c r="F42" s="6" t="inlineStr">
        <is>
          <t>Somme</t>
        </is>
      </c>
      <c r="G42" s="6" t="inlineStr"/>
      <c r="H42" s="6" t="inlineStr"/>
    </row>
    <row r="43">
      <c r="B43" s="7" t="inlineStr">
        <is>
          <t>centroïde exact du polygone admissible</t>
        </is>
      </c>
      <c r="C43" s="63" t="n">
        <v>0.52202381</v>
      </c>
      <c r="D43" s="63" t="n">
        <v>0.34166667</v>
      </c>
      <c r="E43" s="64">
        <f>1-C43-D43</f>
        <v>0.13630952000000002</v>
      </c>
      <c r="F43" s="64">
        <f>SUM(C43:E43)</f>
        <v>1.0</v>
      </c>
      <c r="G43" s="15" t="inlineStr"/>
      <c r="H43" s="15" t="inlineStr"/>
    </row>
    <row r="44">
      <c r="B44" s="12" t="inlineStr">
        <is>
          <t>Les deux valeurs bleues sont produites par mx4926_bprime/composition_mx4926_verification.py §2 (clipping de Sutherland-Hodgman, puis formule du centroïde d'aire) : un polygone à 5 sommets ne se moyenne pas à la main. La CHARGE n'est pas saisie : elle est fermée par différence, de sorte que Σw = 1 exactement quel que soit l'arrondi des deux autres — saisir les trois arrondies à 1e-6 briserait la fermeture de 1e-6. Le contrôle D du §5 vérifie que le point tombe bien dans les plages effectives ci-dessus.</t>
        </is>
      </c>
    </row>
    <row r="45">
      <c r="A45" s="20" t="inlineStr">
        <is>
          <t>&gt;</t>
        </is>
      </c>
      <c r="B45" s="20" t="inlineStr">
        <is>
          <t>Étape 3 — gaz de pyrolyse : HÉRITÉ, pas recalculé</t>
        </is>
      </c>
      <c r="I45" s="27" t="inlineStr">
        <is>
          <t>Y_g(MX-4926) = Y_g(SC-1008), par H1 + H2 + H3</t>
        </is>
      </c>
    </row>
    <row r="46">
      <c r="B46" s="6" t="inlineStr">
        <is>
          <t>Gaz de pyrolyse</t>
        </is>
      </c>
      <c r="C46" s="6" t="inlineStr">
        <is>
          <t>C</t>
        </is>
      </c>
      <c r="D46" s="6" t="inlineStr">
        <is>
          <t>H</t>
        </is>
      </c>
      <c r="E46" s="6" t="inlineStr">
        <is>
          <t>O</t>
        </is>
      </c>
      <c r="F46" s="6" t="inlineStr">
        <is>
          <t>Somme</t>
        </is>
      </c>
      <c r="G46" s="6" t="inlineStr">
        <is>
          <t>H/O</t>
        </is>
      </c>
      <c r="H46" s="6" t="inlineStr"/>
    </row>
    <row r="47">
      <c r="B47" s="7" t="inlineStr">
        <is>
          <t>reprise de l'onglet SC-1008 (fermeture élémentaire, route C)</t>
        </is>
      </c>
      <c r="C47" s="8">
        <f>'SC-1008'!C48</f>
        <v>0.2525709901765317</v>
      </c>
      <c r="D47" s="8">
        <f>'SC-1008'!D48</f>
        <v>0.6406534369915442</v>
      </c>
      <c r="E47" s="8">
        <f>'SC-1008'!E48</f>
        <v>0.10677557283192403</v>
      </c>
      <c r="F47" s="24">
        <f>SUM(C47:E47)</f>
        <v>0.9999999999999999</v>
      </c>
      <c r="G47" s="9">
        <f>D47/E47</f>
        <v>6.0</v>
      </c>
      <c r="H47" s="15" t="inlineStr"/>
    </row>
    <row r="48">
      <c r="B48" s="12" t="inlineStr">
        <is>
          <t>Le gaz est produit par la RÉSINE SEULE. Le renfort ex-rayon est déjà carbonisé (H2) et le noir de carbone est inerte (H3) : aucun des deux ne dégaze. La matrice étant le SC-1008, la composition élémentaire du gaz est celle du SC-1008 — toute sa traçabilité (motif C7.5H6O, fermeture à Y = 0.55, confrontation à [TS]) est celle de l'onglet précédent. Le taux de charge et le rapport fibres/résine changent la QUANTITÉ de gaz produite, donc B'g, qui est un paramètre d'ENTRÉE de la table.</t>
        </is>
      </c>
    </row>
    <row r="49">
      <c r="A49" s="20" t="inlineStr">
        <is>
          <t>&gt;</t>
        </is>
      </c>
      <c r="B49" s="20" t="inlineStr">
        <is>
          <t>Étape 4 — char : pondération générale des TROIS constituants</t>
        </is>
      </c>
      <c r="I49" s="27" t="inlineStr">
        <is>
          <t>n_E(char) = Σ_i (m_char,i / M_i) · ν_E,i</t>
        </is>
      </c>
    </row>
    <row r="50" ht="30" customHeight="1">
      <c r="B50" s="5" t="inlineStr">
        <is>
          <t>Fibres ex-rayon : carbone pur. Noir de carbone : carbone pur. Résol carbonisé : carbone pur. La somme pondérée de trois compositions identiques est cette composition, quelles que soient les masses : le char vaut C:1.0 pour TOUT jeu de proportions. C'est ce qui rendrait le calcul faux avec des fibres de silice, un char retenant H/O, ou une charge non carbonée.</t>
        </is>
      </c>
    </row>
    <row r="51">
      <c r="A51" s="20" t="inlineStr">
        <is>
          <t>&gt;</t>
        </is>
      </c>
      <c r="B51" s="20" t="inlineStr">
        <is>
          <t>Étape 5 — rendement en char du COMPOSITE : la fermeture le simplifie</t>
        </is>
      </c>
      <c r="I51" s="27" t="inlineStr">
        <is>
          <t>Y_comp = w_f + w_c + Y·w_r = 1 − (1 − Y)·w_r</t>
        </is>
      </c>
    </row>
    <row r="52">
      <c r="B52" s="6" t="inlineStr">
        <is>
          <t>Rendement en char du composite</t>
        </is>
      </c>
      <c r="C52" s="6" t="inlineStr">
        <is>
          <t>forme longue</t>
        </is>
      </c>
      <c r="D52" s="6" t="inlineStr">
        <is>
          <t>forme courte</t>
        </is>
      </c>
      <c r="E52" s="6" t="inlineStr">
        <is>
          <t>écart</t>
        </is>
      </c>
      <c r="F52" s="6" t="inlineStr"/>
      <c r="G52" s="6" t="inlineStr"/>
      <c r="H52" s="6" t="inlineStr"/>
    </row>
    <row r="53">
      <c r="B53" s="7" t="inlineStr">
        <is>
          <t>Y_comp</t>
        </is>
      </c>
      <c r="C53" s="56">
        <f>C43+E43+$C$28*D43</f>
        <v>0.8462499985</v>
      </c>
      <c r="D53" s="56">
        <f>1-(1-$C$28)*D43</f>
        <v>0.8462499985</v>
      </c>
      <c r="E53" s="59">
        <f>C53-D53</f>
        <v>0.0</v>
      </c>
      <c r="F53" s="15" t="inlineStr"/>
      <c r="G53" s="15" t="inlineStr"/>
      <c r="H53" s="15" t="inlineStr"/>
    </row>
    <row r="54">
      <c r="B54" s="12" t="inlineStr">
        <is>
          <t>LE POINT DE CET ONGLET. Le renfort et la charge ne perdent pas de masse (H2, H3) ; en utilisant w_f + w_c = 1 − w_r, les deux disparaissent de l'expression. Y_comp — donc k, donc le point de fonctionnement — ne dépend QUE de la fraction de RÉSINE. Le partage fibres/charge n'a aucun effet, et l'incertitude sur le renfort mise en évidence à l'étape 1 est sans conséquence sur la réponse matériau.</t>
        </is>
      </c>
    </row>
    <row r="55">
      <c r="A55" s="20" t="inlineStr">
        <is>
          <t>&gt;</t>
        </is>
      </c>
      <c r="B55" s="20" t="inlineStr">
        <is>
          <t>Étape 6 — couplage et densités</t>
        </is>
      </c>
      <c r="I55" s="27" t="inlineStr">
        <is>
          <t>k = (ρ_v − ρ_c)/ρ_c = (1 − Y_comp)/Y_comp ;  ρ_v = (1 − φ)/Σ_i (w_i/ρ_i)</t>
        </is>
      </c>
    </row>
    <row r="56">
      <c r="B56" s="35" t="inlineStr">
        <is>
          <t>couplage k = B'g / B'c</t>
        </is>
      </c>
      <c r="C56" s="46">
        <f>(1-C53)/C53</f>
        <v>0.18168390165143375</v>
      </c>
      <c r="I56" s="12" t="inlineStr">
        <is>
          <t>attendu 0.1817 — la SEULE grandeur qui distingue le MX-4926 du SC-1008</t>
        </is>
      </c>
    </row>
    <row r="57">
      <c r="B57" s="35" t="inlineStr">
        <is>
          <t>porosité φ</t>
        </is>
      </c>
      <c r="C57" s="37" t="n">
        <v>0.02</v>
      </c>
      <c r="I57" s="12" t="inlineStr">
        <is>
          <t>contrôlée au §5 : c'est celle qui restitue la densité publiée</t>
        </is>
      </c>
    </row>
    <row r="58">
      <c r="B58" s="35" t="inlineStr">
        <is>
          <t>volume de solide par kg [m³/kg]</t>
        </is>
      </c>
      <c r="C58" s="65">
        <f>C43/$C$29+D43/$C$30+E43/$C$31</f>
        <v>0.0006753257283611112</v>
      </c>
      <c r="I58" s="12" t="inlineStr">
        <is>
          <t>Σ w_i/ρ_i</t>
        </is>
      </c>
    </row>
    <row r="59">
      <c r="B59" s="35" t="inlineStr">
        <is>
          <t>ρ vierge [kg/m³]</t>
        </is>
      </c>
      <c r="C59" s="45">
        <f>(1-C57)/C58</f>
        <v>1451.1515833674457</v>
      </c>
      <c r="I59" s="12" t="inlineStr">
        <is>
          <t>attendu 1451 (PICA : 274 · TACOT : 280 · CPh70 : 1465)</t>
        </is>
      </c>
    </row>
    <row r="60">
      <c r="B60" s="35" t="inlineStr">
        <is>
          <t>ρ char [kg/m³]</t>
        </is>
      </c>
      <c r="C60" s="45">
        <f>C59*C53</f>
        <v>1228.0370252479736</v>
      </c>
      <c r="I60" s="12" t="inlineStr">
        <is>
          <t>attendu 1228</t>
        </is>
      </c>
    </row>
    <row r="61">
      <c r="B61" s="35" t="inlineStr">
        <is>
          <t>gaz de pyrolyse libéré [kg/m³]</t>
        </is>
      </c>
      <c r="C61" s="45">
        <f>C59-C60</f>
        <v>223.11455811947212</v>
      </c>
      <c r="I61" s="12" t="inlineStr">
        <is>
          <t>attendu 223.1</t>
        </is>
      </c>
    </row>
    <row r="62">
      <c r="B62" s="35" t="inlineStr">
        <is>
          <t>… soit en % de la masse vierge</t>
        </is>
      </c>
      <c r="C62" s="47">
        <f>(1-C53)*100</f>
        <v>15.375000149999995</v>
      </c>
      <c r="I62" s="12" t="inlineStr">
        <is>
          <t>15.4 % — contre 21.4 % pour le TACOT et 12.2 % pour le CPh70</t>
        </is>
      </c>
    </row>
    <row r="63">
      <c r="B63" s="12" t="inlineStr">
        <is>
          <t>k est un rapport de MASSES : ni les densités ni la porosité n'y entrent — elles ne servent qu'à la récession ṡ = B'c·ṁe/ρ_c. C'est pourquoi l'incertitude sur ρ des constituants, réelle, ne se propage pas au point de fonctionnement.</t>
        </is>
      </c>
    </row>
    <row r="65" ht="18" customHeight="1">
      <c r="A65" s="4" t="inlineStr">
        <is>
          <t>§4 — RÉSULTAT : CE QUI ENTRE DANS LE XML</t>
        </is>
      </c>
    </row>
    <row r="66">
      <c r="B66" s="6" t="inlineStr">
        <is>
          <t>Composition élémentaire (fractions molaires)</t>
        </is>
      </c>
      <c r="C66" s="6" t="inlineStr">
        <is>
          <t>C</t>
        </is>
      </c>
      <c r="D66" s="6" t="inlineStr">
        <is>
          <t>H</t>
        </is>
      </c>
      <c r="E66" s="6" t="inlineStr">
        <is>
          <t>O</t>
        </is>
      </c>
      <c r="F66" s="6" t="inlineStr">
        <is>
          <t>Somme</t>
        </is>
      </c>
    </row>
    <row r="67">
      <c r="B67" s="7" t="inlineStr">
        <is>
          <t>calcul — chaîne complète ci-dessus</t>
        </is>
      </c>
      <c r="C67" s="26">
        <f>C47</f>
        <v>0.2525709901765317</v>
      </c>
      <c r="D67" s="26">
        <f>D47</f>
        <v>0.6406534369915442</v>
      </c>
      <c r="E67" s="26">
        <f>E47</f>
        <v>0.10677557283192403</v>
      </c>
      <c r="F67" s="24">
        <f>SUM(C67:E67)</f>
        <v>0.9999999999999999</v>
      </c>
    </row>
    <row r="68">
      <c r="B68" s="7" t="inlineStr">
        <is>
          <t>valeur portée dans le XML (mx4926_pyro)</t>
        </is>
      </c>
      <c r="C68" s="42" t="n">
        <v>0.2526</v>
      </c>
      <c r="D68" s="42" t="n">
        <v>0.6407</v>
      </c>
      <c r="E68" s="42" t="n">
        <v>0.1068</v>
      </c>
      <c r="F68" s="24">
        <f>SUM(C68:E68)</f>
        <v>1.0001</v>
      </c>
    </row>
    <row r="69">
      <c r="B69" s="7" t="inlineStr">
        <is>
          <t>écart relatif |calcul − XML| / XML</t>
        </is>
      </c>
      <c r="C69" s="43">
        <f>ABS(C67-C68)/C68</f>
        <v>0.0001148449068421133</v>
      </c>
      <c r="D69" s="43">
        <f>ABS(D67-D68)/D68</f>
        <v>7.267521219891774e-05</v>
      </c>
      <c r="E69" s="43">
        <f>ABS(E67-E68)/E68</f>
        <v>0.00022871880220952454</v>
      </c>
      <c r="F69" s="15" t="inlineStr"/>
    </row>
    <row r="70">
      <c r="B70" s="6" t="inlineStr">
        <is>
          <t>Char (mx4926_char)</t>
        </is>
      </c>
      <c r="C70" s="6" t="inlineStr">
        <is>
          <t>C</t>
        </is>
      </c>
      <c r="D70" s="6" t="inlineStr">
        <is>
          <t>H</t>
        </is>
      </c>
      <c r="E70" s="6" t="inlineStr">
        <is>
          <t>O</t>
        </is>
      </c>
      <c r="F70" s="6" t="inlineStr"/>
      <c r="G70" s="6" t="inlineStr"/>
      <c r="H70" s="6" t="inlineStr"/>
    </row>
    <row r="71">
      <c r="B71" s="7" t="inlineStr">
        <is>
          <t>composition du XML</t>
        </is>
      </c>
      <c r="C71" s="44" t="n">
        <v>1</v>
      </c>
      <c r="D71" s="11" t="inlineStr">
        <is>
          <t>—</t>
        </is>
      </c>
      <c r="E71" s="11" t="inlineStr">
        <is>
          <t>—</t>
        </is>
      </c>
      <c r="F71" s="15" t="inlineStr"/>
      <c r="G71" s="15" t="inlineStr"/>
      <c r="H71" s="15" t="inlineStr"/>
    </row>
    <row r="72">
      <c r="B72" s="12" t="inlineStr">
        <is>
          <t>Le fichier mx4926-air.xml est donc STRICTEMENT identique à sc1008-air.xml — même liste d'espèces, mêmes trois compositions. Il n'est justifié que par la traçabilité : nommer le matériau. Pour les propriétés du gaz de pyrolyse seul (h_g, Cp, M, γ), il n'y a pas non plus de fichier propre : sc1008-pyrogas.xml est valable tel quel.</t>
        </is>
      </c>
    </row>
    <row r="74" ht="18" customHeight="1">
      <c r="A74" s="4" t="inlineStr">
        <is>
          <t>§5 — CONTRÔLES ET VALIDATION CROISÉE</t>
        </is>
      </c>
    </row>
    <row r="75">
      <c r="A75" s="20" t="inlineStr">
        <is>
          <t>&gt;</t>
        </is>
      </c>
      <c r="B75" s="20" t="inlineStr">
        <is>
          <t>Contrôle A — identité BIT À BIT de la table B' avec celle du SC-1008</t>
        </is>
      </c>
      <c r="I75" s="27" t="inlineStr">
        <is>
          <t>diff caractère pour caractère de la sortie de `bprime`</t>
        </is>
      </c>
    </row>
    <row r="76">
      <c r="B76" s="6" t="inlineStr">
        <is>
          <t>B'g testé</t>
        </is>
      </c>
      <c r="C76" s="6" t="inlineStr">
        <is>
          <t>lignes comparées</t>
        </is>
      </c>
      <c r="D76" s="6" t="inlineStr">
        <is>
          <t>lignes différentes</t>
        </is>
      </c>
      <c r="E76" s="6" t="inlineStr"/>
      <c r="F76" s="6" t="inlineStr"/>
      <c r="G76" s="6" t="inlineStr"/>
      <c r="H76" s="6" t="inlineStr"/>
    </row>
    <row r="77">
      <c r="B77" s="28" t="n">
        <v>0</v>
      </c>
      <c r="C77" s="40" t="n">
        <v>149</v>
      </c>
      <c r="D77" s="66" t="n">
        <v>0</v>
      </c>
      <c r="E77" s="15" t="inlineStr"/>
      <c r="F77" s="15" t="inlineStr"/>
      <c r="G77" s="15" t="inlineStr"/>
      <c r="H77" s="15" t="inlineStr"/>
    </row>
    <row r="78">
      <c r="B78" s="28" t="n">
        <v>0.1</v>
      </c>
      <c r="C78" s="40" t="n">
        <v>149</v>
      </c>
      <c r="D78" s="66" t="n">
        <v>0</v>
      </c>
      <c r="E78" s="15" t="inlineStr"/>
      <c r="F78" s="15" t="inlineStr"/>
      <c r="G78" s="15" t="inlineStr"/>
      <c r="H78" s="15" t="inlineStr"/>
    </row>
    <row r="79">
      <c r="B79" s="28" t="n">
        <v>0.5</v>
      </c>
      <c r="C79" s="40" t="n">
        <v>149</v>
      </c>
      <c r="D79" s="66" t="n">
        <v>0</v>
      </c>
      <c r="E79" s="15" t="inlineStr"/>
      <c r="F79" s="15" t="inlineStr"/>
      <c r="G79" s="15" t="inlineStr"/>
      <c r="H79" s="15" t="inlineStr"/>
    </row>
    <row r="80">
      <c r="B80" s="28" t="n">
        <v>2</v>
      </c>
      <c r="C80" s="40" t="n">
        <v>149</v>
      </c>
      <c r="D80" s="66" t="n">
        <v>0</v>
      </c>
      <c r="E80" s="15" t="inlineStr"/>
      <c r="F80" s="15" t="inlineStr"/>
      <c r="G80" s="15" t="inlineStr"/>
      <c r="H80" s="15" t="inlineStr"/>
    </row>
    <row r="81">
      <c r="B81" s="12" t="inlineStr">
        <is>
          <t>Produit par `python mx4926_bprime/composition_mx4926_verification.py` §5. Pas « proche » : identique caractère pour caractère, comme cph70-air_25 face à tacot-air_25.</t>
        </is>
      </c>
    </row>
    <row r="82">
      <c r="A82" s="20" t="inlineStr">
        <is>
          <t>&gt;</t>
        </is>
      </c>
      <c r="B82" s="20" t="inlineStr">
        <is>
          <t>Contrôle B — limite d'oxydation à 300 K</t>
        </is>
      </c>
      <c r="I82" s="27" t="inlineStr">
        <is>
          <t>C + O2 → CO2, indépendante de la pression</t>
        </is>
      </c>
    </row>
    <row r="83">
      <c r="B83" s="35" t="inlineStr">
        <is>
          <t>B'c(300 K, B'g = 0, 1 atm)</t>
        </is>
      </c>
      <c r="C83" s="60" t="n">
        <v>0.087427</v>
      </c>
      <c r="I83" s="12" t="inlineStr">
        <is>
          <t>attendu 0.0874 — une valeur ≈ 200 signalerait l'absence de C(gr)</t>
        </is>
      </c>
    </row>
    <row r="84">
      <c r="A84" s="20" t="inlineStr">
        <is>
          <t>&gt;</t>
        </is>
      </c>
      <c r="B84" s="20" t="inlineStr">
        <is>
          <t>Contrôle C — la porosité retenue restitue-t-elle la densité publiée ?</t>
        </is>
      </c>
      <c r="I84" s="27" t="inlineStr">
        <is>
          <t>φ = 1 − ρ_publié · Σ_i (w_i/ρ_i)</t>
        </is>
      </c>
    </row>
    <row r="85">
      <c r="B85" s="35" t="inlineStr">
        <is>
          <t>porosité déduite de la densité publiée</t>
        </is>
      </c>
      <c r="C85" s="46">
        <f>1-C32*C58</f>
        <v>0.020777693876388836</v>
      </c>
      <c r="I85" s="12" t="inlineStr">
        <is>
          <t>0.0208 — à comparer au 0.02 retenu à l'étape 6 ; faible et positive, cohérent avec un composite dense pressé</t>
        </is>
      </c>
    </row>
    <row r="86">
      <c r="B86" s="35" t="inlineStr">
        <is>
          <t>écart sur ρ_v</t>
        </is>
      </c>
      <c r="C86" s="67">
        <f>ABS(C59-C32)/C32</f>
        <v>0.0007941954258246275</v>
      </c>
      <c r="I86" s="12" t="inlineStr">
        <is>
          <t>la porosité n'est donc pas un paramètre libre : elle est fixée par la densité mesurée</t>
        </is>
      </c>
    </row>
    <row r="87">
      <c r="A87" s="20" t="inlineStr">
        <is>
          <t>&gt;</t>
        </is>
      </c>
      <c r="B87" s="20" t="inlineStr">
        <is>
          <t>Contrôle D — le centroïde referme-t-il, et tombe-t-il dans les plages effectives ?</t>
        </is>
      </c>
      <c r="I87" s="27" t="inlineStr">
        <is>
          <t>marge = distance à la borne la plus proche ; elle doit être &gt; 0</t>
        </is>
      </c>
    </row>
    <row r="88">
      <c r="B88" s="35" t="inlineStr">
        <is>
          <t>défaut de fermeture |Σw − 1|</t>
        </is>
      </c>
      <c r="C88" s="41">
        <f>ABS(F43-1)</f>
        <v>0.0</v>
      </c>
      <c r="I88" s="12" t="inlineStr">
        <is>
          <t>nul par construction : la charge est fermée par différence (étape 2)</t>
        </is>
      </c>
    </row>
    <row r="89">
      <c r="B89" s="35" t="inlineStr">
        <is>
          <t>marge du renfort dans [min_eff ; max_eff]</t>
        </is>
      </c>
      <c r="C89" s="46">
        <f>MIN(C43-C37,D37-C43)</f>
        <v>0.037976190000000076</v>
      </c>
      <c r="I89" s="12" t="inlineStr">
        <is>
          <t>0.0380 — le centroïde est loin des deux bornes</t>
        </is>
      </c>
    </row>
    <row r="90">
      <c r="B90" s="35" t="inlineStr">
        <is>
          <t>marge de la matrice dans [min_eff ; max_eff]</t>
        </is>
      </c>
      <c r="C90" s="46">
        <f>MIN(D43-C38,D38-D43)</f>
        <v>0.02833332999999999</v>
      </c>
      <c r="I90" s="12" t="inlineStr">
        <is>
          <t>0.0283 — idem</t>
        </is>
      </c>
    </row>
    <row r="92" ht="18" customHeight="1">
      <c r="A92" s="4" t="inlineStr">
        <is>
          <t>§6 — SENSIBILITÉ : SEULE LA FRACTION DE RÉSINE COMPTE</t>
        </is>
      </c>
    </row>
    <row r="93">
      <c r="B93" s="6" t="inlineStr">
        <is>
          <t>w_résine testé</t>
        </is>
      </c>
      <c r="C93" s="6" t="inlineStr">
        <is>
          <t>Y_comp</t>
        </is>
      </c>
      <c r="D93" s="6" t="inlineStr">
        <is>
          <t>k = B'g/B'c</t>
        </is>
      </c>
      <c r="E93" s="6" t="inlineStr">
        <is>
          <t>B'c stationnaire 1 atm 3000 K</t>
        </is>
      </c>
      <c r="F93" s="6" t="inlineStr">
        <is>
          <t>gaz — C</t>
        </is>
      </c>
      <c r="G93" s="6" t="inlineStr">
        <is>
          <t>gaz — H</t>
        </is>
      </c>
      <c r="H93" s="6" t="inlineStr">
        <is>
          <t>gaz — O</t>
        </is>
      </c>
    </row>
    <row r="94">
      <c r="B94" s="21" t="n">
        <v>0.31</v>
      </c>
      <c r="C94" s="26">
        <f>1-(1-$C$28)*B94</f>
        <v>0.8605</v>
      </c>
      <c r="D94" s="26">
        <f>(1-C94)/C94</f>
        <v>0.16211504938988955</v>
      </c>
      <c r="E94" s="22" t="n">
        <v>0.18171</v>
      </c>
      <c r="F94" s="8">
        <f>$C$47</f>
        <v>0.2525709901765317</v>
      </c>
      <c r="G94" s="8">
        <f>$D$47</f>
        <v>0.6406534369915442</v>
      </c>
      <c r="H94" s="8">
        <f>$E$47</f>
        <v>0.10677557283192403</v>
      </c>
    </row>
    <row r="95">
      <c r="B95" s="21" t="n">
        <v>0.341667</v>
      </c>
      <c r="C95" s="26">
        <f>1-(1-$C$28)*B95</f>
        <v>0.84624985</v>
      </c>
      <c r="D95" s="26">
        <f>(1-C95)/C95</f>
        <v>0.1816841090134315</v>
      </c>
      <c r="E95" s="22" t="n">
        <v>0.18187</v>
      </c>
      <c r="F95" s="8">
        <f>$C$47</f>
        <v>0.2525709901765317</v>
      </c>
      <c r="G95" s="8">
        <f>$D$47</f>
        <v>0.6406534369915442</v>
      </c>
      <c r="H95" s="8">
        <f>$E$47</f>
        <v>0.10677557283192403</v>
      </c>
    </row>
    <row r="96">
      <c r="B96" s="21" t="n">
        <v>0.37</v>
      </c>
      <c r="C96" s="26">
        <f>1-(1-$C$28)*B96</f>
        <v>0.8335</v>
      </c>
      <c r="D96" s="26">
        <f>(1-C96)/C96</f>
        <v>0.1997600479904019</v>
      </c>
      <c r="E96" s="22" t="n">
        <v>0.18203</v>
      </c>
      <c r="F96" s="8">
        <f>$C$47</f>
        <v>0.2525709901765317</v>
      </c>
      <c r="G96" s="8">
        <f>$D$47</f>
        <v>0.6406534369915442</v>
      </c>
      <c r="H96" s="8">
        <f>$E$47</f>
        <v>0.10677557283192403</v>
      </c>
    </row>
    <row r="97">
      <c r="B97" s="12" t="inlineStr">
        <is>
          <t>Les trois dernières colonnes sont CONSTANTES : c'est la démonstration de cet onglet, comme pour le CPh70. Toute la plage de composition annoncée (31-37 % de résine) déplace k de 0.162 à 0.200 et ne touche pas d'un iota la composition portée dans le XML — ni, en pratique, le B'c stationnaire : 0.18 % d'étendue à 3000 K, 1.07 % à 2000 K, 4.6 % seulement au genou de sublimation à 3700 K. Ce n'est pas le paramètre à resserrer en priorité.</t>
        </is>
      </c>
    </row>
    <row r="98">
      <c r="B98" s="6" t="inlineStr">
        <is>
          <t>Sensibilité au partage fibres/charge</t>
        </is>
      </c>
      <c r="C98" s="6" t="inlineStr">
        <is>
          <t>renfort</t>
        </is>
      </c>
      <c r="D98" s="6" t="inlineStr">
        <is>
          <t>charge</t>
        </is>
      </c>
      <c r="E98" s="6" t="inlineStr">
        <is>
          <t>Y_comp</t>
        </is>
      </c>
      <c r="F98" s="6" t="inlineStr">
        <is>
          <t>k</t>
        </is>
      </c>
      <c r="G98" s="6" t="inlineStr"/>
      <c r="H98" s="6" t="inlineStr"/>
    </row>
    <row r="99">
      <c r="B99" s="11" t="inlineStr">
        <is>
          <t>w_résine gelé au centroïde</t>
        </is>
      </c>
      <c r="C99" s="21" t="n">
        <v>0.47</v>
      </c>
      <c r="D99" s="21" t="n">
        <v>0.189</v>
      </c>
      <c r="E99" s="26">
        <f>1-(1-$C$28)*$D$43</f>
        <v>0.8462499985</v>
      </c>
      <c r="F99" s="26">
        <f>(1-E99)/E99</f>
        <v>0.18168390165143375</v>
      </c>
      <c r="G99" s="15" t="inlineStr"/>
      <c r="H99" s="15" t="inlineStr"/>
    </row>
    <row r="100">
      <c r="B100" s="11" t="inlineStr">
        <is>
          <t>w_résine gelé au centroïde</t>
        </is>
      </c>
      <c r="C100" s="21" t="n">
        <v>0.522024</v>
      </c>
      <c r="D100" s="21" t="n">
        <v>0.13631</v>
      </c>
      <c r="E100" s="26">
        <f>1-(1-$C$28)*$D$43</f>
        <v>0.8462499985</v>
      </c>
      <c r="F100" s="26">
        <f>(1-E100)/E100</f>
        <v>0.18168390165143375</v>
      </c>
      <c r="G100" s="15" t="inlineStr"/>
      <c r="H100" s="15" t="inlineStr"/>
    </row>
    <row r="101">
      <c r="B101" s="11" t="inlineStr">
        <is>
          <t>w_résine gelé au centroïde</t>
        </is>
      </c>
      <c r="C101" s="21" t="n">
        <v>0.5600000000000001</v>
      </c>
      <c r="D101" s="21" t="n">
        <v>0.098</v>
      </c>
      <c r="E101" s="26">
        <f>1-(1-$C$28)*$D$43</f>
        <v>0.8462499985</v>
      </c>
      <c r="F101" s="26">
        <f>(1-E101)/E101</f>
        <v>0.18168390165143375</v>
      </c>
      <c r="G101" s="15" t="inlineStr"/>
      <c r="H101" s="15" t="inlineStr"/>
    </row>
    <row r="102">
      <c r="B102" s="12" t="inlineStr">
        <is>
          <t>Colonnes Y_comp et k STRICTEMENT constantes : déplacer 9 points de masse du renfort vers la charge ne change rien. Les deux sont du carbone à perte de masse nulle — seule leur SOMME compte, et la fermeture la fixe à 1 − w_résine. (Les couples ci-dessus ne referment volontairement pas à 1 avec w_résine : ils n'illustrent que le partage.)</t>
        </is>
      </c>
    </row>
    <row r="104" ht="18" customHeight="1">
      <c r="A104" s="4" t="inlineStr">
        <is>
          <t>§7 — RÉPONSE MATÉRIAU (n'entre PAS dans le XML)</t>
        </is>
      </c>
    </row>
    <row r="105">
      <c r="B105" s="6" t="inlineStr">
        <is>
          <t>Matériau</t>
        </is>
      </c>
      <c r="C105" s="6" t="inlineStr">
        <is>
          <t>k = B'g/B'c</t>
        </is>
      </c>
      <c r="D105" s="6" t="inlineStr">
        <is>
          <t>nature</t>
        </is>
      </c>
      <c r="E105" s="6" t="inlineStr"/>
      <c r="F105" s="6" t="inlineStr"/>
      <c r="G105" s="6" t="inlineStr"/>
      <c r="H105" s="6" t="inlineStr"/>
    </row>
    <row r="106">
      <c r="B106" s="7" t="inlineStr">
        <is>
          <t>TACOT (10/10/80 vol.)</t>
        </is>
      </c>
      <c r="C106" s="8">
        <f>'TACOT'!C103</f>
        <v>0.2727272727272727</v>
      </c>
      <c r="D106" s="11" t="inlineStr">
        <is>
          <t>poreux — beaucoup de résine par unité de masse</t>
        </is>
      </c>
      <c r="E106" s="15" t="inlineStr"/>
      <c r="F106" s="15" t="inlineStr"/>
      <c r="G106" s="15" t="inlineStr"/>
      <c r="H106" s="15" t="inlineStr"/>
    </row>
    <row r="107">
      <c r="B107" s="7" t="inlineStr">
        <is>
          <t>PICA / SC-1008</t>
        </is>
      </c>
      <c r="C107" s="8">
        <f>'SC-1008'!C126</f>
        <v>0.2345679012345679</v>
      </c>
      <c r="D107" s="11" t="inlineStr">
        <is>
          <t>même résine, sans charge, taux de résine plus élevé</t>
        </is>
      </c>
      <c r="E107" s="15" t="inlineStr"/>
      <c r="F107" s="15" t="inlineStr"/>
      <c r="G107" s="15" t="inlineStr"/>
      <c r="H107" s="15" t="inlineStr"/>
    </row>
    <row r="108">
      <c r="B108" s="7" t="inlineStr">
        <is>
          <t>MX-4926</t>
        </is>
      </c>
      <c r="C108" s="68">
        <f>C56</f>
        <v>0.18168390165143375</v>
      </c>
      <c r="D108" s="11" t="inlineStr">
        <is>
          <t>dense et chargé</t>
        </is>
      </c>
      <c r="E108" s="15" t="inlineStr"/>
      <c r="F108" s="15" t="inlineStr"/>
      <c r="G108" s="15" t="inlineStr"/>
      <c r="H108" s="15" t="inlineStr"/>
    </row>
    <row r="109">
      <c r="B109" s="7" t="inlineStr">
        <is>
          <t>CPh70 (69/30/1 vol.)</t>
        </is>
      </c>
      <c r="C109" s="8">
        <f>'CPh70'!C43</f>
        <v>0.13846153846153833</v>
      </c>
      <c r="D109" s="11" t="inlineStr">
        <is>
          <t>dense et très riche en fibres</t>
        </is>
      </c>
      <c r="E109" s="15" t="inlineStr"/>
      <c r="F109" s="15" t="inlineStr"/>
      <c r="G109" s="15" t="inlineStr"/>
      <c r="H109" s="15" t="inlineStr"/>
    </row>
    <row r="110">
      <c r="B110" s="12" t="inlineStr">
        <is>
          <t>Le noir de carbone agit exactement comme des fibres du point de vue du bilan : il ajoute de la masse qui ne dégaze pas, donc il ABAISSE k. Le MX-4926 se place entre le PICA — même résine, mais sans charge — et le CPh70.</t>
        </is>
      </c>
    </row>
    <row r="111">
      <c r="B111" s="35" t="inlineStr">
        <is>
          <t>rapport ρ_char MX-4926 / ρ_char TACOT</t>
        </is>
      </c>
      <c r="C111" s="47">
        <f>C60/'TACOT'!C101</f>
        <v>5.58198647839988</v>
      </c>
      <c r="I111" s="12" t="inlineStr">
        <is>
          <t>à B'c égal, la récession ṡ = B'c·ṁe/ρ_c du MX-4926 est ~5.6 fois plus lente</t>
        </is>
      </c>
    </row>
    <row r="113" ht="18" customHeight="1">
      <c r="A113" s="4" t="inlineStr">
        <is>
          <t>§8 — BLOC XML</t>
        </is>
      </c>
    </row>
    <row r="114">
      <c r="B114" s="29" t="inlineStr">
        <is>
          <t>&lt;mixture thermo_db="NASA-9"&gt;</t>
        </is>
      </c>
    </row>
    <row r="115">
      <c r="B115" s="29" t="inlineStr">
        <is>
          <t xml:space="preserve">    &lt;species&gt;</t>
        </is>
      </c>
    </row>
    <row r="116">
      <c r="B116" s="29" t="inlineStr">
        <is>
          <t xml:space="preserve">       C H O N CH4 CN CO CO2 C2 C2H C2H2,acetylene C3 C4 C4H2,butadiyne C5</t>
        </is>
      </c>
    </row>
    <row r="117">
      <c r="B117" s="29" t="inlineStr">
        <is>
          <t xml:space="preserve">       HCN H2 H2O N2 CH2OH CNN CNC CNCOCN C6H6 C6H5OH,phenol HNC C(gr)</t>
        </is>
      </c>
    </row>
    <row r="118">
      <c r="B118" s="29" t="inlineStr">
        <is>
          <t xml:space="preserve">    &lt;/species&gt;</t>
        </is>
      </c>
    </row>
    <row r="119">
      <c r="B119" s="29" t="inlineStr">
        <is>
          <t xml:space="preserve">    &lt;element_compositions default="air"&gt;</t>
        </is>
      </c>
    </row>
    <row r="120">
      <c r="B120" s="29" t="inlineStr">
        <is>
          <t xml:space="preserve">        &lt;composition name="air"&gt;N:0.79, O:0.21&lt;/composition&gt;</t>
        </is>
      </c>
    </row>
    <row r="121">
      <c r="B121" s="29" t="inlineStr">
        <is>
          <t xml:space="preserve">        &lt;composition name="mx4926_pyro"&gt;C:0.2526, H:0.6407, O:0.1068&lt;/composition&gt;</t>
        </is>
      </c>
    </row>
    <row r="122">
      <c r="B122" s="29" t="inlineStr">
        <is>
          <t xml:space="preserve">        &lt;composition name="mx4926_char"&gt;C:1.0&lt;/composition&gt;</t>
        </is>
      </c>
    </row>
    <row r="123">
      <c r="B123" s="29" t="inlineStr">
        <is>
          <t xml:space="preserve">    &lt;/element_compositions&gt;</t>
        </is>
      </c>
    </row>
    <row r="124">
      <c r="B124" s="29" t="inlineStr">
        <is>
          <t>&lt;/mixture&gt;</t>
        </is>
      </c>
    </row>
  </sheetData>
  <mergeCells count="51">
    <mergeCell ref="B97:I97"/>
    <mergeCell ref="A65:I65"/>
    <mergeCell ref="B84:H84"/>
    <mergeCell ref="B49:H49"/>
    <mergeCell ref="B54:I54"/>
    <mergeCell ref="B81:I81"/>
    <mergeCell ref="B55:H55"/>
    <mergeCell ref="B72:I72"/>
    <mergeCell ref="B121:I121"/>
    <mergeCell ref="B115:I115"/>
    <mergeCell ref="A3:I3"/>
    <mergeCell ref="B15:H15"/>
    <mergeCell ref="A74:I74"/>
    <mergeCell ref="B122:I122"/>
    <mergeCell ref="B27:I27"/>
    <mergeCell ref="B51:H51"/>
    <mergeCell ref="B102:I102"/>
    <mergeCell ref="A21:I21"/>
    <mergeCell ref="B45:H45"/>
    <mergeCell ref="A104:I104"/>
    <mergeCell ref="A113:I113"/>
    <mergeCell ref="A2:I2"/>
    <mergeCell ref="B48:I48"/>
    <mergeCell ref="B41:H41"/>
    <mergeCell ref="A5:I5"/>
    <mergeCell ref="B35:H35"/>
    <mergeCell ref="B117:I117"/>
    <mergeCell ref="B75:H75"/>
    <mergeCell ref="B120:I120"/>
    <mergeCell ref="B16:H16"/>
    <mergeCell ref="B119:I119"/>
    <mergeCell ref="B44:I44"/>
    <mergeCell ref="B116:I116"/>
    <mergeCell ref="B18:H18"/>
    <mergeCell ref="A13:I13"/>
    <mergeCell ref="A34:I34"/>
    <mergeCell ref="B118:I118"/>
    <mergeCell ref="A92:I92"/>
    <mergeCell ref="B40:I40"/>
    <mergeCell ref="B14:H14"/>
    <mergeCell ref="B17:H17"/>
    <mergeCell ref="B124:I124"/>
    <mergeCell ref="B82:H82"/>
    <mergeCell ref="A1:I1"/>
    <mergeCell ref="B87:H87"/>
    <mergeCell ref="B123:I123"/>
    <mergeCell ref="B114:I114"/>
    <mergeCell ref="B63:I63"/>
    <mergeCell ref="B110:I110"/>
    <mergeCell ref="B19:H19"/>
    <mergeCell ref="B50:I50"/>
  </mergeCells>
  <pageMargins left="0.75" right="0.75" top="1" bottom="1" header="0.5" footer="0.5"/>
</worksheet>
</file>

<file path=xl/worksheets/sheet8.xml><?xml version="1.0" encoding="utf-8"?>
<worksheet xmlns="http://schemas.openxmlformats.org/spreadsheetml/2006/main">
  <sheetPr>
    <tabColor rgb="00BF8F00"/>
    <outlinePr summaryBelow="1" summaryRight="1"/>
    <pageSetUpPr/>
  </sheetPr>
  <dimension ref="A1:I136"/>
  <sheetViews>
    <sheetView showGridLines="0" workbookViewId="0">
      <pane ySplit="4" topLeftCell="A5" activePane="bottomLeft" state="frozen"/>
      <selection pane="bottomLeft" activeCell="A1" sqref="A1"/>
    </sheetView>
  </sheetViews>
  <sheetFormatPr baseColWidth="8" defaultRowHeight="15"/>
  <cols>
    <col width="4.5" customWidth="1" min="1" max="1"/>
    <col width="34" customWidth="1" min="2" max="2"/>
    <col width="13" customWidth="1" min="3" max="3"/>
    <col width="13" customWidth="1" min="4" max="4"/>
    <col width="13" customWidth="1" min="5" max="5"/>
    <col width="13" customWidth="1" min="6" max="6"/>
    <col width="13" customWidth="1" min="7" max="7"/>
    <col width="13" customWidth="1" min="8" max="8"/>
    <col width="72" customWidth="1" min="9" max="9"/>
  </cols>
  <sheetData>
    <row r="1" ht="26" customHeight="1">
      <c r="A1" s="1" t="inlineStr">
        <is>
          <t>Liège / phénolique (cork phenolic) — 80 / 20 en masse</t>
        </is>
      </c>
    </row>
    <row r="2" ht="16" customHeight="1">
      <c r="A2" s="2" t="inlineStr">
        <is>
          <t>Le SEUL matériau du dépôt dont le RENFORT PYROLYSE AUSSI : le gaz est le mélange de deux gaz, et le rapport renfort/résine entre dans la table B'</t>
        </is>
      </c>
    </row>
    <row r="3">
      <c r="A3" s="3" t="inlineStr">
        <is>
          <t>Fichier(s) XML : data/mixtures/cork-air.xml · cork-pyrogas.xml</t>
        </is>
      </c>
    </row>
    <row r="5" ht="18" customHeight="1">
      <c r="A5" s="4" t="inlineStr">
        <is>
          <t>§0 — FICHE D'IDENTITÉ</t>
        </is>
      </c>
    </row>
    <row r="6">
      <c r="B6" s="35" t="inlineStr">
        <is>
          <t>Matériau</t>
        </is>
      </c>
      <c r="C6" s="30" t="inlineStr">
        <is>
          <t>composite liège / résine phénolique, 80 % liège / 20 % résine en MASSE du solide</t>
        </is>
      </c>
      <c r="I6" s="12" t="inlineStr">
        <is>
          <t>matériau de type P50 (Amorim) — IXV et QARMAN</t>
        </is>
      </c>
    </row>
    <row r="7">
      <c r="B7" s="35" t="inlineStr">
        <is>
          <t>Renfort</t>
        </is>
      </c>
      <c r="C7" s="30" t="inlineStr">
        <is>
          <t>liège (Quercus suber) — subérine 45 / lignine 27 / polysaccharides 12 / tanins 6 / céroïdes 6 %</t>
        </is>
      </c>
      <c r="I7" s="12" t="inlineStr">
        <is>
          <t>IL PYROLYSE : c'est l'essentiel du gaz produit</t>
        </is>
      </c>
    </row>
    <row r="8">
      <c r="B8" s="35" t="inlineStr">
        <is>
          <t>Résine</t>
        </is>
      </c>
      <c r="C8" s="30" t="inlineStr">
        <is>
          <t>novolac C7H6O, rendement en char 50 %</t>
        </is>
      </c>
      <c r="I8" s="12" t="inlineStr">
        <is>
          <t>même motif que TACOT, PICA, CPh70</t>
        </is>
      </c>
    </row>
    <row r="9">
      <c r="B9" s="35" t="inlineStr">
        <is>
          <t>Rendement en char du composite</t>
        </is>
      </c>
      <c r="C9" s="30" t="inlineStr">
        <is>
          <t>20 % — mesuré par TGA sur le cork P50 (argon, 10 K/min, plateau 780-1650 K)</t>
        </is>
      </c>
      <c r="I9" s="12" t="inlineStr">
        <is>
          <t>Sakraker et al., CEAS Space Journal 14:377-393 (2022)</t>
        </is>
      </c>
    </row>
    <row r="10">
      <c r="B10" s="35" t="inlineStr">
        <is>
          <t>Sources</t>
        </is>
      </c>
      <c r="C10" s="30" t="inlineStr">
        <is>
          <t>cork_bprime/mise_en_donnees_cork.md · cork_pyrolysis_data.py</t>
        </is>
      </c>
      <c r="I10" s="12" t="inlineStr"/>
    </row>
    <row r="11">
      <c r="B11" s="35" t="inlineStr">
        <is>
          <t>Compositions du XML</t>
        </is>
      </c>
      <c r="C11" s="30" t="inlineStr">
        <is>
          <t>air (-bl) · cork_pyro (-py) · cork_char (-char, -char-elem C)</t>
        </is>
      </c>
      <c r="I11" s="12" t="inlineStr"/>
    </row>
    <row r="13" ht="18" customHeight="1">
      <c r="A13" s="4" t="inlineStr">
        <is>
          <t>§1 — HYPOTHÈSES</t>
        </is>
      </c>
    </row>
    <row r="14" ht="26" customHeight="1">
      <c r="A14" s="20" t="inlineStr">
        <is>
          <t>H1</t>
        </is>
      </c>
      <c r="B14" s="5" t="inlineStr">
        <is>
          <t>LE RENFORT PYROLYSE. Le gaz est produit par les DEUX constituants, mélangés au prorata des masses réellement dégazées.</t>
        </is>
      </c>
      <c r="I14" s="12" t="inlineStr">
        <is>
          <t>C'est toute la différence avec un carbone/phénolique. Conséquence : le rapport liège/résine entre DANS la composition du gaz, donc dans la table B' — ce qui n'était pas le cas du CPh70.</t>
        </is>
      </c>
    </row>
    <row r="15" ht="26" customHeight="1">
      <c r="A15" s="20" t="inlineStr">
        <is>
          <t>H2</t>
        </is>
      </c>
      <c r="B15" s="5" t="inlineStr">
        <is>
          <t>« 80 % de liège » se lit en MASSE, pas en volume.</t>
        </is>
      </c>
      <c r="I15" s="12" t="inlineStr">
        <is>
          <t>Piège d'énoncé : le liège est très léger (≈ 120 kg/m³ contre 1200 pour la résine). 80 % en VOLUME ne ferait que 28.6 % en masse — un tout autre matériau (gaz C:0.277, char 39.3 %, k = 1.545).</t>
        </is>
      </c>
    </row>
    <row r="16" ht="26" customHeight="1">
      <c r="A16" s="20" t="inlineStr">
        <is>
          <t>H3</t>
        </is>
      </c>
      <c r="B16" s="5" t="inlineStr">
        <is>
          <t>Analyse élémentaire du liège retenue : C 62.4 / H 8.5 / O 28.4 % masse (littérature, sec sans cendres).</t>
        </is>
      </c>
      <c r="I16" s="12" t="inlineStr">
        <is>
          <t>PROVENANCE À CONFIRMER : valeurs usuelles pour Quercus suber, non vérifiées sur une source primaire accessible. Le contrôle biochimique du §5 est, lui, traçable ligne à ligne. L'azote (~0.6 %) est négligé — le retenir ajouterait une 4e composante au gaz.</t>
        </is>
      </c>
    </row>
    <row r="17" ht="26" customHeight="1">
      <c r="A17" s="20" t="inlineStr">
        <is>
          <t>H4</t>
        </is>
      </c>
      <c r="B17" s="5" t="inlineStr">
        <is>
          <t>Rendement en char du liège DÉDUIT du composite mesuré et de la résine : 0.80·y + 0.20·0.50 = 0.20 ⇒ y = 12.5 %.</t>
        </is>
      </c>
      <c r="I17" s="12" t="inlineStr">
        <is>
          <t>La TGA ne sépare pas les deux constituants. Lever l'hypothèse « résine à 50 % » demanderait une seconde TGA, sur la résine seule ou sur le liège seul.</t>
        </is>
      </c>
    </row>
    <row r="18" ht="26" customHeight="1">
      <c r="A18" s="20" t="inlineStr">
        <is>
          <t>H5</t>
        </is>
      </c>
      <c r="B18" s="5" t="inlineStr">
        <is>
          <t>Les deux constituants carbonisent vers du carbone pur ⇒ char C:1.0.</t>
        </is>
      </c>
      <c r="I18" s="12" t="inlineStr">
        <is>
          <t>Un char de liège réel retient un peu de H et de O : le §5 chiffre cette variante (char multi-élément C:0.864, H:0.108, O:0.027) — et rappelle qu'il faut alors RETIRER ces atomes du gaz.</t>
        </is>
      </c>
    </row>
    <row r="19" ht="26" customHeight="1">
      <c r="A19" s="20" t="inlineStr">
        <is>
          <t>H6</t>
        </is>
      </c>
      <c r="B19" s="5" t="inlineStr">
        <is>
          <t>Le couplage stationnaire se calcule sur les MASSES : k = (1 − y)/y = 4.0.</t>
        </is>
      </c>
      <c r="I19" s="12" t="inlineStr">
        <is>
          <t>L'identité k = (ρ_v − ρ_c)/ρ_c suppose un volume constant, que ce matériau ne respecte PAS : le char se rétracte (V_char/V_vierge ≈ 0.32). Les densités donneraient k = 0.61, six fois trop peu.</t>
        </is>
      </c>
    </row>
    <row r="21" ht="18" customHeight="1">
      <c r="A21" s="4" t="inlineStr">
        <is>
          <t>§2 — DONNÉES D'ENTRÉE</t>
        </is>
      </c>
    </row>
    <row r="22">
      <c r="A22" s="20" t="inlineStr">
        <is>
          <t>&gt;</t>
        </is>
      </c>
      <c r="B22" s="20" t="inlineStr">
        <is>
          <t>Analyse élémentaire du liège — valeurs de littérature (RETENUES)</t>
        </is>
      </c>
      <c r="I22" s="27" t="inlineStr">
        <is>
          <t>% masse, sec sans cendres</t>
        </is>
      </c>
    </row>
    <row r="23">
      <c r="B23" s="6" t="inlineStr"/>
      <c r="C23" s="6" t="inlineStr">
        <is>
          <t>C</t>
        </is>
      </c>
      <c r="D23" s="6" t="inlineStr">
        <is>
          <t>H</t>
        </is>
      </c>
      <c r="E23" s="6" t="inlineStr">
        <is>
          <t>O</t>
        </is>
      </c>
      <c r="F23" s="6" t="inlineStr">
        <is>
          <t>Somme</t>
        </is>
      </c>
      <c r="G23" s="6" t="inlineStr"/>
      <c r="H23" s="6" t="inlineStr"/>
    </row>
    <row r="24">
      <c r="B24" s="7" t="inlineStr">
        <is>
          <t>liège [% masse]</t>
        </is>
      </c>
      <c r="C24" s="69" t="n">
        <v>62.4</v>
      </c>
      <c r="D24" s="69" t="n">
        <v>8.5</v>
      </c>
      <c r="E24" s="69" t="n">
        <v>28.4</v>
      </c>
      <c r="F24" s="9">
        <f>SUM(C24:E24)</f>
        <v>99.30000000000001</v>
      </c>
      <c r="G24" s="15" t="inlineStr"/>
      <c r="H24" s="15" t="inlineStr"/>
    </row>
    <row r="25">
      <c r="B25" s="12" t="inlineStr">
        <is>
          <t>La somme vaut 99.3 % et non 100 : l'étape 1 renormalise. C'est exactement ce que fait cork_pyrolysis_data.py.</t>
        </is>
      </c>
    </row>
    <row r="27">
      <c r="A27" s="20" t="inlineStr">
        <is>
          <t>&gt;</t>
        </is>
      </c>
      <c r="B27" s="20" t="inlineStr">
        <is>
          <t>Constituants biochimiques du liège et leurs unités de répétition (sert au contrôle du §5)</t>
        </is>
      </c>
      <c r="I27" s="27" t="inlineStr">
        <is>
          <t>M_i = Σ_E ν_E,i · M_E</t>
        </is>
      </c>
    </row>
    <row r="28">
      <c r="B28" s="6" t="inlineStr">
        <is>
          <t>Constituant — unité de répétition</t>
        </is>
      </c>
      <c r="C28" s="6" t="inlineStr">
        <is>
          <t>% masse</t>
        </is>
      </c>
      <c r="D28" s="6" t="inlineStr">
        <is>
          <t>ν_C</t>
        </is>
      </c>
      <c r="E28" s="6" t="inlineStr">
        <is>
          <t>ν_H</t>
        </is>
      </c>
      <c r="F28" s="6" t="inlineStr">
        <is>
          <t>ν_O</t>
        </is>
      </c>
      <c r="G28" s="6" t="inlineStr">
        <is>
          <t>M [g/mol]</t>
        </is>
      </c>
      <c r="H28" s="6" t="inlineStr">
        <is>
          <t>rendement en char</t>
        </is>
      </c>
    </row>
    <row r="29">
      <c r="B29" s="7" t="inlineStr">
        <is>
          <t>subérine — C57H104O12 (glycérol + 3 acides époxy-hydroxy C18, − 3 H2O)</t>
        </is>
      </c>
      <c r="C29" s="36" t="n">
        <v>45</v>
      </c>
      <c r="D29" s="40" t="n">
        <v>57</v>
      </c>
      <c r="E29" s="40" t="n">
        <v>104</v>
      </c>
      <c r="F29" s="40" t="n">
        <v>12</v>
      </c>
      <c r="G29" s="9">
        <f>D29*Constantes!$C$7+E29*Constantes!$C$8+F29*Constantes!$C$9</f>
        <v>981.4469999999999</v>
      </c>
      <c r="H29" s="36" t="n">
        <v>0.15</v>
      </c>
    </row>
    <row r="30">
      <c r="B30" s="7" t="inlineStr">
        <is>
          <t>lignine — C10H12O3 (alcool coniférylique, unité guaïacyle)</t>
        </is>
      </c>
      <c r="C30" s="36" t="n">
        <v>27</v>
      </c>
      <c r="D30" s="40" t="n">
        <v>10</v>
      </c>
      <c r="E30" s="40" t="n">
        <v>12</v>
      </c>
      <c r="F30" s="40" t="n">
        <v>3</v>
      </c>
      <c r="G30" s="9">
        <f>D30*Constantes!$C$7+E30*Constantes!$C$8+F30*Constantes!$C$9</f>
        <v>180.20299999999997</v>
      </c>
      <c r="H30" s="36" t="n">
        <v>0.45</v>
      </c>
    </row>
    <row r="31">
      <c r="B31" s="7" t="inlineStr">
        <is>
          <t>polysaccharides — C6H10O5 (anhydroglucose)</t>
        </is>
      </c>
      <c r="C31" s="36" t="n">
        <v>12</v>
      </c>
      <c r="D31" s="40" t="n">
        <v>6</v>
      </c>
      <c r="E31" s="40" t="n">
        <v>10</v>
      </c>
      <c r="F31" s="40" t="n">
        <v>5</v>
      </c>
      <c r="G31" s="9">
        <f>D31*Constantes!$C$7+E31*Constantes!$C$8+F31*Constantes!$C$9</f>
        <v>162.14100000000002</v>
      </c>
      <c r="H31" s="36" t="n">
        <v>0.15</v>
      </c>
    </row>
    <row r="32">
      <c r="B32" s="7" t="inlineStr">
        <is>
          <t>tanins — C15H14O6 (flavan-3-ol, catéchine)</t>
        </is>
      </c>
      <c r="C32" s="36" t="n">
        <v>6</v>
      </c>
      <c r="D32" s="40" t="n">
        <v>15</v>
      </c>
      <c r="E32" s="40" t="n">
        <v>14</v>
      </c>
      <c r="F32" s="40" t="n">
        <v>6</v>
      </c>
      <c r="G32" s="9">
        <f>D32*Constantes!$C$7+E32*Constantes!$C$8+F32*Constantes!$C$9</f>
        <v>290.27099999999996</v>
      </c>
      <c r="H32" s="36" t="n">
        <v>0.4</v>
      </c>
    </row>
    <row r="33">
      <c r="B33" s="7" t="inlineStr">
        <is>
          <t>céroïdes — C30H50O (friedéline)</t>
        </is>
      </c>
      <c r="C33" s="36" t="n">
        <v>6</v>
      </c>
      <c r="D33" s="40" t="n">
        <v>30</v>
      </c>
      <c r="E33" s="40" t="n">
        <v>50</v>
      </c>
      <c r="F33" s="40" t="n">
        <v>1</v>
      </c>
      <c r="G33" s="9">
        <f>D33*Constantes!$C$7+E33*Constantes!$C$8+F33*Constantes!$C$9</f>
        <v>426.729</v>
      </c>
      <c r="H33" s="36" t="n">
        <v>0.02</v>
      </c>
    </row>
    <row r="34">
      <c r="B34" s="13" t="inlineStr">
        <is>
          <t>SOMME des parts</t>
        </is>
      </c>
      <c r="C34" s="9">
        <f>SUM(C29:C33)</f>
        <v>96.0</v>
      </c>
      <c r="D34" s="15" t="inlineStr"/>
      <c r="E34" s="15" t="inlineStr"/>
      <c r="F34" s="15" t="inlineStr"/>
      <c r="G34" s="15" t="inlineStr"/>
      <c r="H34" s="15" t="inlineStr"/>
    </row>
    <row r="35">
      <c r="B35" s="12" t="inlineStr">
        <is>
          <t>Les parts somment à 96 % : le complément (cendres ~1 %, humidité résiduelle, extractibles mineurs) n'est pas de la matière C/H/O identifiée. On renormalise donc sur les 96 % déclarés. Les rendements en char par constituant (dernière colonne) sont des ordres de grandeur d'ATG lente sous inerte — ils servent au contrôle B du §5, pas au calcul du XML.</t>
        </is>
      </c>
    </row>
    <row r="37">
      <c r="B37" s="35" t="inlineStr">
        <is>
          <t>fraction massique de liège dans le solide</t>
        </is>
      </c>
      <c r="C37" s="37" t="n">
        <v>0.8</v>
      </c>
      <c r="I37" s="12" t="inlineStr">
        <is>
          <t>hypothèse H2 — lecture MASSIQUE</t>
        </is>
      </c>
    </row>
    <row r="38">
      <c r="B38" s="35" t="inlineStr">
        <is>
          <t>fraction massique de résine dans le solide</t>
        </is>
      </c>
      <c r="C38" s="70">
        <f>1-C37</f>
        <v>0.19999999999999996</v>
      </c>
      <c r="I38" s="12" t="inlineStr"/>
    </row>
    <row r="39">
      <c r="B39" s="35" t="inlineStr">
        <is>
          <t>rendement en char du COMPOSITE (mesuré, TGA P50)</t>
        </is>
      </c>
      <c r="C39" s="37" t="n">
        <v>0.2</v>
      </c>
      <c r="I39" s="12" t="inlineStr">
        <is>
          <t>plateau de 780 à 1650 K, argon, 10 K/min</t>
        </is>
      </c>
    </row>
    <row r="40">
      <c r="B40" s="35" t="inlineStr">
        <is>
          <t>rendement en char de la RÉSINE</t>
        </is>
      </c>
      <c r="C40" s="37" t="n">
        <v>0.5</v>
      </c>
      <c r="I40" s="12" t="inlineStr">
        <is>
          <t>valeur classique novolac (énoncé) — même valeur que le TACOT</t>
        </is>
      </c>
    </row>
    <row r="41">
      <c r="B41" s="35" t="inlineStr">
        <is>
          <t>motif de la résine — ν_C</t>
        </is>
      </c>
      <c r="C41" s="30" t="n">
        <v>7</v>
      </c>
      <c r="I41" s="12" t="inlineStr">
        <is>
          <t>novolac linéaire C7H6O, cf. Constantes §3</t>
        </is>
      </c>
    </row>
    <row r="42">
      <c r="B42" s="35" t="inlineStr">
        <is>
          <t xml:space="preserve">                    ν_H</t>
        </is>
      </c>
      <c r="C42" s="30" t="n">
        <v>6</v>
      </c>
      <c r="I42" s="12" t="inlineStr"/>
    </row>
    <row r="43">
      <c r="B43" s="35" t="inlineStr">
        <is>
          <t xml:space="preserve">                    ν_O</t>
        </is>
      </c>
      <c r="C43" s="30" t="n">
        <v>1</v>
      </c>
      <c r="I43" s="12" t="inlineStr"/>
    </row>
    <row r="44">
      <c r="B44" s="35" t="inlineStr">
        <is>
          <t>ρ vierge / ρ char mesurés du P50 [kg/m³]</t>
        </is>
      </c>
      <c r="C44" s="30" t="n">
        <v>465.6</v>
      </c>
      <c r="I44" s="12" t="inlineStr">
        <is>
          <t>Sakraker et al. : 464.5 et 466.7 vierge</t>
        </is>
      </c>
    </row>
    <row r="45">
      <c r="B45" s="35" t="inlineStr"/>
      <c r="C45" s="30" t="n">
        <v>289.1</v>
      </c>
      <c r="I45" s="12" t="inlineStr">
        <is>
          <t>Sakraker et al. : 279.9 et 298.4 char — n'entre PAS dans k, cf. H6</t>
        </is>
      </c>
    </row>
    <row r="47" ht="18" customHeight="1">
      <c r="A47" s="4" t="inlineStr">
        <is>
          <t>§3 — CALCUL PAS À PAS</t>
        </is>
      </c>
    </row>
    <row r="48">
      <c r="A48" s="20" t="inlineStr">
        <is>
          <t>&gt;</t>
        </is>
      </c>
      <c r="B48" s="20" t="inlineStr">
        <is>
          <t>Étape 1 — renormaliser l'analyse élémentaire du liège à 100 %</t>
        </is>
      </c>
      <c r="I48" s="27" t="inlineStr">
        <is>
          <t>w_E = w_E,brut / Σ w_j,brut</t>
        </is>
      </c>
    </row>
    <row r="49">
      <c r="B49" s="6" t="inlineStr"/>
      <c r="C49" s="6" t="inlineStr">
        <is>
          <t>C</t>
        </is>
      </c>
      <c r="D49" s="6" t="inlineStr">
        <is>
          <t>H</t>
        </is>
      </c>
      <c r="E49" s="6" t="inlineStr">
        <is>
          <t>O</t>
        </is>
      </c>
      <c r="F49" s="6" t="inlineStr">
        <is>
          <t>Somme</t>
        </is>
      </c>
      <c r="G49" s="6" t="inlineStr"/>
      <c r="H49" s="6" t="inlineStr"/>
    </row>
    <row r="50">
      <c r="B50" s="7" t="inlineStr">
        <is>
          <t>liège renormalisé [% masse]</t>
        </is>
      </c>
      <c r="C50" s="9">
        <f>C24/$F$24*100</f>
        <v>62.83987915407854</v>
      </c>
      <c r="D50" s="9">
        <f>D24/$F$24*100</f>
        <v>8.559919436052365</v>
      </c>
      <c r="E50" s="9">
        <f>E24/$F$24*100</f>
        <v>28.60020140986908</v>
      </c>
      <c r="F50" s="9">
        <f>SUM(C50:E50)</f>
        <v>99.99999999999997</v>
      </c>
      <c r="G50" s="15" t="inlineStr"/>
      <c r="H50" s="15" t="inlineStr"/>
    </row>
    <row r="51">
      <c r="A51" s="20" t="inlineStr">
        <is>
          <t>&gt;</t>
        </is>
      </c>
      <c r="B51" s="20" t="inlineStr">
        <is>
          <t>Étape 2 — déduire le rendement en char du LIÈGE du rendement mesuré du composite</t>
        </is>
      </c>
      <c r="I51" s="27" t="inlineStr">
        <is>
          <t>w_liège·y_liège + w_résine·y_résine = y_composite</t>
        </is>
      </c>
    </row>
    <row r="52">
      <c r="B52" s="35" t="inlineStr">
        <is>
          <t>y_liège = (y_comp − w_rés·y_rés) / w_liège</t>
        </is>
      </c>
      <c r="C52" s="70">
        <f>($C$39-$C$38*$C$40)/$C$37</f>
        <v>0.12500000000000003</v>
      </c>
      <c r="I52" s="12" t="inlineStr">
        <is>
          <t>attendu 0.125 — c'est LE nombre déduit, et le plus incertain de la chaîne (§6)</t>
        </is>
      </c>
    </row>
    <row r="53">
      <c r="A53" s="20" t="inlineStr">
        <is>
          <t>&gt;</t>
        </is>
      </c>
      <c r="B53" s="20" t="inlineStr">
        <is>
          <t>Étape 3 — bilan de masse sur 100 g de composite vierge</t>
        </is>
      </c>
      <c r="I53" s="27" t="inlineStr">
        <is>
          <t>m_char,i = m_i · y_i ;  m_gaz,i = m_i · (1 − y_i)</t>
        </is>
      </c>
    </row>
    <row r="54">
      <c r="B54" s="6" t="inlineStr">
        <is>
          <t>Constituant</t>
        </is>
      </c>
      <c r="C54" s="6" t="inlineStr">
        <is>
          <t>masse [g]</t>
        </is>
      </c>
      <c r="D54" s="6" t="inlineStr">
        <is>
          <t>rendement char</t>
        </is>
      </c>
      <c r="E54" s="6" t="inlineStr">
        <is>
          <t>char [g]</t>
        </is>
      </c>
      <c r="F54" s="6" t="inlineStr">
        <is>
          <t>gaz [g]</t>
        </is>
      </c>
      <c r="G54" s="6" t="inlineStr"/>
      <c r="H54" s="6" t="inlineStr"/>
    </row>
    <row r="55">
      <c r="B55" s="7" t="inlineStr">
        <is>
          <t>liège</t>
        </is>
      </c>
      <c r="C55" s="9">
        <f>$C$37*100</f>
        <v>80.0</v>
      </c>
      <c r="D55" s="24">
        <f>$C$52</f>
        <v>0.12500000000000003</v>
      </c>
      <c r="E55" s="9">
        <f>C55*D55</f>
        <v>10.000000000000002</v>
      </c>
      <c r="F55" s="9">
        <f>C55-E55</f>
        <v>70.0</v>
      </c>
      <c r="G55" s="15" t="inlineStr"/>
      <c r="H55" s="15" t="inlineStr"/>
    </row>
    <row r="56">
      <c r="B56" s="7" t="inlineStr">
        <is>
          <t>résine</t>
        </is>
      </c>
      <c r="C56" s="9">
        <f>$C$38*100</f>
        <v>19.999999999999996</v>
      </c>
      <c r="D56" s="24">
        <f>$C$40</f>
        <v>0.5</v>
      </c>
      <c r="E56" s="9">
        <f>C56*D56</f>
        <v>9.999999999999998</v>
      </c>
      <c r="F56" s="9">
        <f>C56-E56</f>
        <v>9.999999999999998</v>
      </c>
      <c r="G56" s="15" t="inlineStr"/>
      <c r="H56" s="15" t="inlineStr"/>
    </row>
    <row r="57">
      <c r="B57" s="13" t="inlineStr">
        <is>
          <t>COMPOSITE</t>
        </is>
      </c>
      <c r="C57" s="9">
        <f>C55+C56</f>
        <v>100.0</v>
      </c>
      <c r="D57" s="24">
        <f>(E55+E56)/(C55+C56)</f>
        <v>0.2</v>
      </c>
      <c r="E57" s="9">
        <f>E55+E56</f>
        <v>20.0</v>
      </c>
      <c r="F57" s="9">
        <f>F55+F56</f>
        <v>80.0</v>
      </c>
      <c r="G57" s="15" t="inlineStr"/>
      <c r="H57" s="15" t="inlineStr"/>
    </row>
    <row r="58">
      <c r="B58" s="12" t="inlineStr">
        <is>
          <t>Contrôle : la colonne « rendement char » du composite doit redonner exactement les 20 % mesurés — c'est la définition même de l'étape 2.</t>
        </is>
      </c>
    </row>
    <row r="59">
      <c r="A59" s="20" t="inlineStr">
        <is>
          <t>&gt;</t>
        </is>
      </c>
      <c r="B59" s="20" t="inlineStr">
        <is>
          <t>Étape 4 — fermeture élémentaire, constituant par constituant : aucun atome n'est créé</t>
        </is>
      </c>
      <c r="I59" s="27" t="inlineStr">
        <is>
          <t>n_E(gaz, i) = n_E(constituant, i) − n_E(char, i)</t>
        </is>
      </c>
    </row>
    <row r="60">
      <c r="B60" s="6" t="inlineStr">
        <is>
          <t>Moles d'atomes</t>
        </is>
      </c>
      <c r="C60" s="6" t="inlineStr">
        <is>
          <t>C</t>
        </is>
      </c>
      <c r="D60" s="6" t="inlineStr">
        <is>
          <t>H</t>
        </is>
      </c>
      <c r="E60" s="6" t="inlineStr">
        <is>
          <t>O</t>
        </is>
      </c>
      <c r="F60" s="6" t="inlineStr">
        <is>
          <t>Somme</t>
        </is>
      </c>
      <c r="G60" s="6" t="inlineStr">
        <is>
          <t>x_E du gaz partiel</t>
        </is>
      </c>
      <c r="H60" s="6" t="inlineStr"/>
    </row>
    <row r="61">
      <c r="B61" s="7" t="inlineStr">
        <is>
          <t>liège — atomes du constituant</t>
        </is>
      </c>
      <c r="C61" s="26">
        <f>C55*C50/100/Constantes!$C$7</f>
        <v>4.185488579074418</v>
      </c>
      <c r="D61" s="26">
        <f>C55*D50/100/Constantes!$C$8</f>
        <v>6.793586854009814</v>
      </c>
      <c r="E61" s="26">
        <f>C55*E50/100/Constantes!$C$9</f>
        <v>1.4300994517091858</v>
      </c>
      <c r="F61" s="26">
        <f>SUM(C61:E61)</f>
        <v>12.40917488479342</v>
      </c>
      <c r="G61" s="15" t="inlineStr"/>
      <c r="H61" s="15" t="inlineStr"/>
    </row>
    <row r="62">
      <c r="B62" s="7" t="inlineStr">
        <is>
          <t>liège — atomes du char (C pur)</t>
        </is>
      </c>
      <c r="C62" s="26">
        <f>E55/Constantes!$C$7</f>
        <v>0.8325701440346351</v>
      </c>
      <c r="D62" s="26" t="n">
        <v>0</v>
      </c>
      <c r="E62" s="26" t="n">
        <v>0</v>
      </c>
      <c r="F62" s="26">
        <f>SUM(C62:E62)</f>
        <v>0.8325701440346351</v>
      </c>
      <c r="G62" s="15" t="inlineStr"/>
      <c r="H62" s="15" t="inlineStr"/>
    </row>
    <row r="63">
      <c r="B63" s="7" t="inlineStr">
        <is>
          <t>liège — GAZ = constituant − char</t>
        </is>
      </c>
      <c r="C63" s="26">
        <f>C61-C62</f>
        <v>3.3529184350397827</v>
      </c>
      <c r="D63" s="26">
        <f>D61-D62</f>
        <v>6.793586854009814</v>
      </c>
      <c r="E63" s="26">
        <f>E61-E62</f>
        <v>1.4300994517091858</v>
      </c>
      <c r="F63" s="26">
        <f>SUM(C63:E63)</f>
        <v>11.576604740758782</v>
      </c>
      <c r="G63" s="11" t="inlineStr">
        <is>
          <t>C:0.290 H:0.587 O:0.124</t>
        </is>
      </c>
      <c r="H63" s="15" t="inlineStr"/>
    </row>
    <row r="64">
      <c r="A64" s="20" t="inlineStr">
        <is>
          <t>&gt;</t>
        </is>
      </c>
      <c r="B64" s="20" t="inlineStr">
        <is>
          <t>Étape 5 — même fermeture pour la résine (motif C7H6O)</t>
        </is>
      </c>
      <c r="I64" s="27" t="inlineStr">
        <is>
          <t>n_E = m_résine·ν_E / M_motif ;  M_motif = Σ ν_E·M_E</t>
        </is>
      </c>
    </row>
    <row r="65">
      <c r="B65" s="35" t="inlineStr">
        <is>
          <t>M du motif de résine [g/mol]</t>
        </is>
      </c>
      <c r="C65" s="70">
        <f>C41*Constantes!$C$7+C42*Constantes!$C$8+C43*Constantes!$C$9</f>
        <v>106.124</v>
      </c>
      <c r="I65" s="12" t="inlineStr">
        <is>
          <t>attendu 106.12 g/mol</t>
        </is>
      </c>
    </row>
    <row r="66">
      <c r="B66" s="6" t="inlineStr">
        <is>
          <t>Moles d'atomes</t>
        </is>
      </c>
      <c r="C66" s="6" t="inlineStr">
        <is>
          <t>C</t>
        </is>
      </c>
      <c r="D66" s="6" t="inlineStr">
        <is>
          <t>H</t>
        </is>
      </c>
      <c r="E66" s="6" t="inlineStr">
        <is>
          <t>O</t>
        </is>
      </c>
      <c r="F66" s="6" t="inlineStr">
        <is>
          <t>Somme</t>
        </is>
      </c>
      <c r="G66" s="6" t="inlineStr">
        <is>
          <t>x_E du gaz partiel</t>
        </is>
      </c>
      <c r="H66" s="6" t="inlineStr"/>
    </row>
    <row r="67">
      <c r="B67" s="7" t="inlineStr">
        <is>
          <t>résine — atomes du constituant</t>
        </is>
      </c>
      <c r="C67" s="26">
        <f>C56/$C$65*$C$41</f>
        <v>1.3192114884474764</v>
      </c>
      <c r="D67" s="26">
        <f>C56/$C$65*$C$42</f>
        <v>1.1307527043835512</v>
      </c>
      <c r="E67" s="26">
        <f>C56/$C$65*$C$43</f>
        <v>0.1884587840639252</v>
      </c>
      <c r="F67" s="26">
        <f>SUM(C67:E67)</f>
        <v>2.6384229768949528</v>
      </c>
      <c r="G67" s="15" t="inlineStr"/>
      <c r="H67" s="15" t="inlineStr"/>
    </row>
    <row r="68">
      <c r="B68" s="7" t="inlineStr">
        <is>
          <t>résine — atomes du char (C pur)</t>
        </is>
      </c>
      <c r="C68" s="26">
        <f>E56/Constantes!$C$7</f>
        <v>0.8325701440346348</v>
      </c>
      <c r="D68" s="26" t="n">
        <v>0</v>
      </c>
      <c r="E68" s="26" t="n">
        <v>0</v>
      </c>
      <c r="F68" s="26">
        <f>SUM(C68:E68)</f>
        <v>0.8325701440346348</v>
      </c>
      <c r="G68" s="15" t="inlineStr"/>
      <c r="H68" s="15" t="inlineStr"/>
    </row>
    <row r="69">
      <c r="B69" s="7" t="inlineStr">
        <is>
          <t>résine — GAZ = constituant − char</t>
        </is>
      </c>
      <c r="C69" s="26">
        <f>C67-C68</f>
        <v>0.48664134441284157</v>
      </c>
      <c r="D69" s="26">
        <f>D67-D68</f>
        <v>1.1307527043835512</v>
      </c>
      <c r="E69" s="26">
        <f>E67-E68</f>
        <v>0.1884587840639252</v>
      </c>
      <c r="F69" s="26">
        <f>SUM(C69:E69)</f>
        <v>1.8058528328603178</v>
      </c>
      <c r="G69" s="11" t="inlineStr">
        <is>
          <t>C:0.269 H:0.626 O:0.104</t>
        </is>
      </c>
      <c r="H69" s="15" t="inlineStr"/>
    </row>
    <row r="70">
      <c r="A70" s="20" t="inlineStr">
        <is>
          <t>&gt;</t>
        </is>
      </c>
      <c r="B70" s="20" t="inlineStr">
        <is>
          <t>Étape 6 — mélanger les deux gaz et normaliser</t>
        </is>
      </c>
      <c r="I70" s="27" t="inlineStr">
        <is>
          <t>n_E(gaz) = n_E(gaz, liège) + n_E(gaz, résine) ;  x_E = n_E / Σ n_j</t>
        </is>
      </c>
    </row>
    <row r="71">
      <c r="B71" s="6" t="inlineStr"/>
      <c r="C71" s="6" t="inlineStr">
        <is>
          <t>C</t>
        </is>
      </c>
      <c r="D71" s="6" t="inlineStr">
        <is>
          <t>H</t>
        </is>
      </c>
      <c r="E71" s="6" t="inlineStr">
        <is>
          <t>O</t>
        </is>
      </c>
      <c r="F71" s="6" t="inlineStr">
        <is>
          <t>Somme</t>
        </is>
      </c>
      <c r="G71" s="6" t="inlineStr">
        <is>
          <t>M_gaz [g/mol]</t>
        </is>
      </c>
      <c r="H71" s="6" t="inlineStr">
        <is>
          <t>H/O</t>
        </is>
      </c>
    </row>
    <row r="72">
      <c r="B72" s="7" t="inlineStr">
        <is>
          <t>gaz du composite — moles d'atomes</t>
        </is>
      </c>
      <c r="C72" s="26">
        <f>C63+C69</f>
        <v>3.839559779452624</v>
      </c>
      <c r="D72" s="26">
        <f>D63+D69</f>
        <v>7.924339558393365</v>
      </c>
      <c r="E72" s="26">
        <f>E63+E69</f>
        <v>1.618558235773111</v>
      </c>
      <c r="F72" s="26">
        <f>SUM(C72:E72)</f>
        <v>13.382457573619101</v>
      </c>
      <c r="G72" s="15" t="inlineStr"/>
      <c r="H72" s="15" t="inlineStr"/>
    </row>
    <row r="73">
      <c r="B73" s="7" t="inlineStr">
        <is>
          <t>x_E (fraction molaire élémentaire)</t>
        </is>
      </c>
      <c r="C73" s="26">
        <f>C72/$F$72</f>
        <v>0.28690991608458866</v>
      </c>
      <c r="D73" s="26">
        <f>D72/$F$72</f>
        <v>0.5921438207295087</v>
      </c>
      <c r="E73" s="26">
        <f>E72/$F$72</f>
        <v>0.12094626318590257</v>
      </c>
      <c r="F73" s="24">
        <f>SUM(C73:E73)</f>
        <v>1.0</v>
      </c>
      <c r="G73" s="24">
        <f>C73*Constantes!$C$7+D73*Constantes!$C$8+E73*Constantes!$C$9</f>
        <v>5.977975238098594</v>
      </c>
      <c r="H73" s="24">
        <f>D73/E73</f>
        <v>4.895924893680623</v>
      </c>
    </row>
    <row r="74">
      <c r="B74" s="7" t="inlineStr">
        <is>
          <t>y_E (fraction massique élémentaire)</t>
        </is>
      </c>
      <c r="C74" s="24">
        <f>C73*Constantes!$C$7/$G$73</f>
        <v>0.5764619063875684</v>
      </c>
      <c r="D74" s="24">
        <f>D73*Constantes!$C$8/$G$73</f>
        <v>0.09984667843575643</v>
      </c>
      <c r="E74" s="24">
        <f>E73*Constantes!$C$9/$G$73</f>
        <v>0.3236914151766751</v>
      </c>
      <c r="F74" s="24">
        <f>SUM(C74:E74)</f>
        <v>1.0</v>
      </c>
      <c r="G74" s="15" t="inlineStr"/>
      <c r="H74" s="15" t="inlineStr"/>
    </row>
    <row r="75">
      <c r="B75" s="12" t="inlineStr">
        <is>
          <t>H/O = 4.89 : bien plus bas que les 5.9-6.8 des phénoliques. C'est normal et attendu — le liège (subérine, lignine, polysaccharides) est nativement bien plus oxygéné qu'un phénolique. L'invariant H/O de l'onglet SC-1008 ne s'applique donc PAS à ce matériau.</t>
        </is>
      </c>
    </row>
    <row r="77" ht="18" customHeight="1">
      <c r="A77" s="4" t="inlineStr">
        <is>
          <t>§4 — RÉSULTAT : CE QUI ENTRE DANS LE XML</t>
        </is>
      </c>
    </row>
    <row r="78">
      <c r="B78" s="6" t="inlineStr">
        <is>
          <t>Composition élémentaire (fractions molaires)</t>
        </is>
      </c>
      <c r="C78" s="6" t="inlineStr">
        <is>
          <t>C</t>
        </is>
      </c>
      <c r="D78" s="6" t="inlineStr">
        <is>
          <t>H</t>
        </is>
      </c>
      <c r="E78" s="6" t="inlineStr">
        <is>
          <t>O</t>
        </is>
      </c>
      <c r="F78" s="6" t="inlineStr">
        <is>
          <t>Somme</t>
        </is>
      </c>
    </row>
    <row r="79">
      <c r="B79" s="7" t="inlineStr">
        <is>
          <t>calcul — chaîne complète ci-dessus</t>
        </is>
      </c>
      <c r="C79" s="26">
        <f>C73</f>
        <v>0.28690991608458866</v>
      </c>
      <c r="D79" s="26">
        <f>D73</f>
        <v>0.5921438207295087</v>
      </c>
      <c r="E79" s="26">
        <f>E73</f>
        <v>0.12094626318590257</v>
      </c>
      <c r="F79" s="24">
        <f>SUM(C79:E79)</f>
        <v>1.0</v>
      </c>
    </row>
    <row r="80">
      <c r="B80" s="7" t="inlineStr">
        <is>
          <t>valeur portée dans le XML (cork_pyro)</t>
        </is>
      </c>
      <c r="C80" s="42" t="n">
        <v>0.287</v>
      </c>
      <c r="D80" s="42" t="n">
        <v>0.592</v>
      </c>
      <c r="E80" s="42" t="n">
        <v>0.121</v>
      </c>
      <c r="F80" s="24">
        <f>SUM(C80:E80)</f>
        <v>1.0</v>
      </c>
    </row>
    <row r="81">
      <c r="B81" s="7" t="inlineStr">
        <is>
          <t>écart relatif |calcul − XML| / XML</t>
        </is>
      </c>
      <c r="C81" s="43">
        <f>ABS(C79-C80)/C80</f>
        <v>0.00031388123836697174</v>
      </c>
      <c r="D81" s="43">
        <f>ABS(D79-D80)/D80</f>
        <v>0.00024294042146738581</v>
      </c>
      <c r="E81" s="43">
        <f>ABS(E79-E80)/E80</f>
        <v>0.0004441059016316284</v>
      </c>
      <c r="F81" s="15" t="inlineStr"/>
    </row>
    <row r="82">
      <c r="B82" s="6" t="inlineStr">
        <is>
          <t>Char (cork_char)</t>
        </is>
      </c>
      <c r="C82" s="6" t="inlineStr">
        <is>
          <t>C</t>
        </is>
      </c>
      <c r="D82" s="6" t="inlineStr">
        <is>
          <t>H</t>
        </is>
      </c>
      <c r="E82" s="6" t="inlineStr">
        <is>
          <t>O</t>
        </is>
      </c>
      <c r="F82" s="6" t="inlineStr"/>
      <c r="G82" s="6" t="inlineStr"/>
      <c r="H82" s="6" t="inlineStr"/>
    </row>
    <row r="83">
      <c r="B83" s="7" t="inlineStr">
        <is>
          <t>composition du XML</t>
        </is>
      </c>
      <c r="C83" s="44" t="n">
        <v>1</v>
      </c>
      <c r="D83" s="11" t="inlineStr">
        <is>
          <t>—</t>
        </is>
      </c>
      <c r="E83" s="11" t="inlineStr">
        <is>
          <t>—</t>
        </is>
      </c>
      <c r="F83" s="15" t="inlineStr"/>
      <c r="G83" s="15" t="inlineStr"/>
      <c r="H83" s="15" t="inlineStr"/>
    </row>
    <row r="85" ht="18" customHeight="1">
      <c r="A85" s="4" t="inlineStr">
        <is>
          <t>§5 — CONTRÔLES ET VALIDATION CROISÉE</t>
        </is>
      </c>
    </row>
    <row r="86">
      <c r="A86" s="20" t="inlineStr">
        <is>
          <t>&gt;</t>
        </is>
      </c>
      <c r="B86" s="20" t="inlineStr">
        <is>
          <t>Contrôle A — reconstruire le liège depuis ses unités de répétition (traçable ligne à ligne)</t>
        </is>
      </c>
      <c r="I86" s="27" t="inlineStr">
        <is>
          <t>w_E = Σ_i (part_i / Σ parts) · (ν_E,i·M_E / M_i)</t>
        </is>
      </c>
    </row>
    <row r="87">
      <c r="B87" s="6" t="inlineStr"/>
      <c r="C87" s="6" t="inlineStr">
        <is>
          <t>C</t>
        </is>
      </c>
      <c r="D87" s="6" t="inlineStr">
        <is>
          <t>H</t>
        </is>
      </c>
      <c r="E87" s="6" t="inlineStr">
        <is>
          <t>O</t>
        </is>
      </c>
      <c r="F87" s="6" t="inlineStr">
        <is>
          <t>Somme</t>
        </is>
      </c>
      <c r="G87" s="6" t="inlineStr">
        <is>
          <t>écart / littérature [points]</t>
        </is>
      </c>
      <c r="H87" s="6" t="inlineStr"/>
    </row>
    <row r="88">
      <c r="B88" s="7" t="inlineStr">
        <is>
          <t>liège reconstruit [% masse]</t>
        </is>
      </c>
      <c r="C88" s="9">
        <f>SUMPRODUCT($C$29:$C$33,D29:D33/$G$29:$G$33)*Constantes!$C$7/$C$34*100</f>
        <v>66.15714719213301</v>
      </c>
      <c r="D88" s="9">
        <f>SUMPRODUCT($C$29:$C$33,E29:E33/$G$29:$G$33)*Constantes!$C$8/$C$34*100</f>
        <v>8.713892588758716</v>
      </c>
      <c r="E88" s="9">
        <f>SUMPRODUCT($C$29:$C$33,F29:F33/$G$29:$G$33)*Constantes!$C$9/$C$34*100</f>
        <v>25.128960219108283</v>
      </c>
      <c r="F88" s="9">
        <f>SUM(C88:E88)</f>
        <v>100.0</v>
      </c>
      <c r="G88" s="9">
        <f>MAX(ABS(C88-C50),ABS(D88-D50),ABS(E88-E50))</f>
        <v>3.4712411907607965</v>
      </c>
      <c r="H88" s="15" t="inlineStr"/>
    </row>
    <row r="89">
      <c r="B89" s="12" t="inlineStr">
        <is>
          <t>Attendu C 66.16 / H 8.71 / O 25.13. L'hydrogène tombe à 0.2 point près ; le carbone est surestimé d'environ 4 points et l'oxygène sous-estimé d'autant. Deux causes non exclusives : (a) les 4 % manquants, s'ils sont de la matière oxygénée, rapprocheraient la reconstruction à ~1 point ; (b) l'unité choisie pour la subérine, qui pèse 45 % à elle seule. Effet sur le gaz : C:0.300 / H:0.594 / O:0.107 au lieu de C:0.287 / H:0.592 / O:0.121 — réel, mais du second ordre devant l'incertitude sur le rendement en char (§6).</t>
        </is>
      </c>
    </row>
    <row r="90">
      <c r="A90" s="20" t="inlineStr">
        <is>
          <t>&gt;</t>
        </is>
      </c>
      <c r="B90" s="20" t="inlineStr">
        <is>
          <t>Contrôle B — rendement en char du liège par additivité des constituants</t>
        </is>
      </c>
      <c r="I90" s="27" t="inlineStr">
        <is>
          <t>y_liège = Σ_i part_i · y_i / Σ parts</t>
        </is>
      </c>
    </row>
    <row r="91">
      <c r="B91" s="35" t="inlineStr">
        <is>
          <t>y_liège par additivité</t>
        </is>
      </c>
      <c r="C91" s="70">
        <f>SUMPRODUCT($C$29:$C$33,$H$29:$H$33)/$C$34</f>
        <v>0.24187500000000003</v>
      </c>
      <c r="I91" s="12" t="inlineStr">
        <is>
          <t>attendu 24.2 % — contre 12.5 % déduit de la TGA du composite</t>
        </is>
      </c>
    </row>
    <row r="92">
      <c r="B92" s="35" t="inlineStr">
        <is>
          <t>⇒ rendement du composite impliqué</t>
        </is>
      </c>
      <c r="C92" s="70">
        <f>$C$37*C91+$C$38*$C$40</f>
        <v>0.2935</v>
      </c>
      <c r="I92" s="12" t="inlineStr">
        <is>
          <t>29.3 % contre 20.0 % mesurés sur le P50 : les deux voies NE SE REJOIGNENT PAS, d'un facteur deux sur le liège</t>
        </is>
      </c>
    </row>
    <row r="93">
      <c r="B93" s="12" t="inlineStr">
        <is>
          <t>On garde la MESURE. Explications de l'écart : le P50 est plastifié au glycol, qui part entièrement en gaz ; son rapport liège/résine n'est pas nécessairement 80/20 ; et les rendements par constituant ci-dessus sont indicatifs. C'est la mesure qui fixe k, la grandeur qui gouverne le point de fonctionnement.</t>
        </is>
      </c>
    </row>
    <row r="94">
      <c r="A94" s="20" t="inlineStr">
        <is>
          <t>&gt;</t>
        </is>
      </c>
      <c r="B94" s="20" t="inlineStr">
        <is>
          <t>Contrôle C — variante : char de liège retenant H et O (char multi-élément)</t>
        </is>
      </c>
      <c r="I94" s="27" t="inlineStr">
        <is>
          <t>n_E(char) = Σ_i (m_char,i / M_i) · ν_E,i</t>
        </is>
      </c>
    </row>
    <row r="95">
      <c r="B95" s="6" t="inlineStr">
        <is>
          <t>char de liège supposé [% masse]</t>
        </is>
      </c>
      <c r="C95" s="6" t="inlineStr">
        <is>
          <t>C</t>
        </is>
      </c>
      <c r="D95" s="6" t="inlineStr">
        <is>
          <t>H</t>
        </is>
      </c>
      <c r="E95" s="6" t="inlineStr">
        <is>
          <t>O</t>
        </is>
      </c>
      <c r="F95" s="6" t="inlineStr">
        <is>
          <t>Somme</t>
        </is>
      </c>
      <c r="G95" s="6" t="inlineStr"/>
      <c r="H95" s="6" t="inlineStr"/>
    </row>
    <row r="96">
      <c r="B96" s="7" t="inlineStr">
        <is>
          <t>hypothèse de travail</t>
        </is>
      </c>
      <c r="C96" s="36" t="n">
        <v>90</v>
      </c>
      <c r="D96" s="36" t="n">
        <v>2</v>
      </c>
      <c r="E96" s="36" t="n">
        <v>8</v>
      </c>
      <c r="F96" s="9">
        <f>SUM(C96:E96)</f>
        <v>100.0</v>
      </c>
      <c r="G96" s="15" t="inlineStr"/>
      <c r="H96" s="15" t="inlineStr"/>
    </row>
    <row r="97">
      <c r="B97" s="7" t="inlineStr">
        <is>
          <t>moles d'atomes du char total (liège + résine)</t>
        </is>
      </c>
      <c r="C97" s="26">
        <f>E55*C96/100/Constantes!$C$7+E56/Constantes!$C$7</f>
        <v>1.5818832736658064</v>
      </c>
      <c r="D97" s="26">
        <f>E55*D96/100/Constantes!$C$8</f>
        <v>0.19841269841269846</v>
      </c>
      <c r="E97" s="26">
        <f>E55*E96/100/Constantes!$C$9</f>
        <v>0.05000312519532472</v>
      </c>
      <c r="F97" s="26">
        <f>SUM(C97:E97)</f>
        <v>1.8302990972738296</v>
      </c>
      <c r="G97" s="15" t="inlineStr"/>
      <c r="H97" s="15" t="inlineStr"/>
    </row>
    <row r="98">
      <c r="B98" s="7" t="inlineStr">
        <is>
          <t>⇒ cork_char multi-élément (x_E)</t>
        </is>
      </c>
      <c r="C98" s="24">
        <f>C97/$F$97</f>
        <v>0.8642758312135812</v>
      </c>
      <c r="D98" s="24">
        <f>D97/$F$97</f>
        <v>0.10840452181188728</v>
      </c>
      <c r="E98" s="24">
        <f>E97/$F$97</f>
        <v>0.027319646974531504</v>
      </c>
      <c r="F98" s="24">
        <f>SUM(C98:E98)</f>
        <v>1.0</v>
      </c>
      <c r="G98" s="15" t="inlineStr"/>
      <c r="H98" s="15" t="inlineStr"/>
    </row>
    <row r="99">
      <c r="B99" s="12" t="inlineStr">
        <is>
          <t>Attendu C:0.864, H:0.108, O:0.027. `-char-elem C` reste valable : l'élément du bilan doit être présent dans le char et absent (ou minoritaire) au bord de couche limite. ATTENTION À LA COHÉRENCE : si le char retient des atomes, il faut les RETIRER du gaz (le gaz devient C:0.297, H:0.585, O:0.119). C'est automatique dans la fermeture élémentaire, pas si l'on recopie deux compositions de sources différentes.</t>
        </is>
      </c>
    </row>
    <row r="101" ht="18" customHeight="1">
      <c r="A101" s="4" t="inlineStr">
        <is>
          <t>§6 — SENSIBILITÉ</t>
        </is>
      </c>
    </row>
    <row r="102">
      <c r="A102" s="20" t="inlineStr">
        <is>
          <t>&gt;</t>
        </is>
      </c>
      <c r="B102" s="20" t="inlineStr">
        <is>
          <t>Au rendement en char du liège — LE paramètre à mesurer en priorité</t>
        </is>
      </c>
    </row>
    <row r="103">
      <c r="B103" s="6" t="inlineStr">
        <is>
          <t>y_liège testé</t>
        </is>
      </c>
      <c r="C103" s="6" t="inlineStr">
        <is>
          <t>C</t>
        </is>
      </c>
      <c r="D103" s="6" t="inlineStr">
        <is>
          <t>H</t>
        </is>
      </c>
      <c r="E103" s="6" t="inlineStr">
        <is>
          <t>O</t>
        </is>
      </c>
      <c r="F103" s="6" t="inlineStr">
        <is>
          <t>y composite impliqué</t>
        </is>
      </c>
      <c r="G103" s="6" t="inlineStr">
        <is>
          <t>k = (1−y)/y</t>
        </is>
      </c>
      <c r="H103" s="6" t="inlineStr"/>
    </row>
    <row r="104">
      <c r="B104" s="28" t="n">
        <v>0.05</v>
      </c>
      <c r="C104" s="24">
        <f>($C$61-$C$55*B104/Constantes!$C$7+$C$69)/(($C$61-$C$55*B104/Constantes!$C$7+$C$69)+($D$61+$D$69)+($E$61+$E$69))</f>
        <v>0.31257037690065326</v>
      </c>
      <c r="D104" s="24">
        <f>($D$61+$D$69)/(($C$61-$C$55*B104/Constantes!$C$7+$C$69)+($D$61+$D$69)+($E$61+$E$69))</f>
        <v>0.5708355966326684</v>
      </c>
      <c r="E104" s="24">
        <f>($E$61+$E$69)/(($C$61-$C$55*B104/Constantes!$C$7+$C$69)+($D$61+$D$69)+($E$61+$E$69))</f>
        <v>0.11659402646667842</v>
      </c>
      <c r="F104" s="24">
        <f>$C$37*B104+$C$38*$C$40</f>
        <v>0.13999999999999999</v>
      </c>
      <c r="G104" s="24">
        <f>(1-F104)/F104</f>
        <v>6.142857142857143</v>
      </c>
      <c r="H104" s="15" t="inlineStr"/>
    </row>
    <row r="105">
      <c r="B105" s="28" t="n">
        <v>0.1</v>
      </c>
      <c r="C105" s="24">
        <f>($C$61-$C$55*B105/Constantes!$C$7+$C$69)/(($C$61-$C$55*B105/Constantes!$C$7+$C$69)+($D$61+$D$69)+($E$61+$E$69))</f>
        <v>0.29567364415630176</v>
      </c>
      <c r="D105" s="24">
        <f>($D$61+$D$69)/(($C$61-$C$55*B105/Constantes!$C$7+$C$69)+($D$61+$D$69)+($E$61+$E$69))</f>
        <v>0.584866496950548</v>
      </c>
      <c r="E105" s="24">
        <f>($E$61+$E$69)/(($C$61-$C$55*B105/Constantes!$C$7+$C$69)+($D$61+$D$69)+($E$61+$E$69))</f>
        <v>0.11945985889315008</v>
      </c>
      <c r="F105" s="24">
        <f>$C$37*B105+$C$38*$C$40</f>
        <v>0.18</v>
      </c>
      <c r="G105" s="24">
        <f>(1-F105)/F105</f>
        <v>4.555555555555556</v>
      </c>
      <c r="H105" s="15" t="inlineStr"/>
    </row>
    <row r="106">
      <c r="B106" s="28" t="n">
        <v>0.125</v>
      </c>
      <c r="C106" s="24">
        <f>($C$61-$C$55*B106/Constantes!$C$7+$C$69)/(($C$61-$C$55*B106/Constantes!$C$7+$C$69)+($D$61+$D$69)+($E$61+$E$69))</f>
        <v>0.2869099160845887</v>
      </c>
      <c r="D106" s="24">
        <f>($D$61+$D$69)/(($C$61-$C$55*B106/Constantes!$C$7+$C$69)+($D$61+$D$69)+($E$61+$E$69))</f>
        <v>0.5921438207295087</v>
      </c>
      <c r="E106" s="24">
        <f>($E$61+$E$69)/(($C$61-$C$55*B106/Constantes!$C$7+$C$69)+($D$61+$D$69)+($E$61+$E$69))</f>
        <v>0.12094626318590257</v>
      </c>
      <c r="F106" s="24">
        <f>$C$37*B106+$C$38*$C$40</f>
        <v>0.19999999999999998</v>
      </c>
      <c r="G106" s="24">
        <f>(1-F106)/F106</f>
        <v>4.000000000000001</v>
      </c>
      <c r="H106" s="15" t="inlineStr"/>
    </row>
    <row r="107">
      <c r="B107" s="28" t="n">
        <v>0.15</v>
      </c>
      <c r="C107" s="24">
        <f>($C$61-$C$55*B107/Constantes!$C$7+$C$69)/(($C$61-$C$55*B107/Constantes!$C$7+$C$69)+($D$61+$D$69)+($E$61+$E$69))</f>
        <v>0.2779253511632566</v>
      </c>
      <c r="D107" s="24">
        <f>($D$61+$D$69)/(($C$61-$C$55*B107/Constantes!$C$7+$C$69)+($D$61+$D$69)+($E$61+$E$69))</f>
        <v>0.5996045255129748</v>
      </c>
      <c r="E107" s="24">
        <f>($E$61+$E$69)/(($C$61-$C$55*B107/Constantes!$C$7+$C$69)+($D$61+$D$69)+($E$61+$E$69))</f>
        <v>0.12247012332376864</v>
      </c>
      <c r="F107" s="24">
        <f>$C$37*B107+$C$38*$C$40</f>
        <v>0.21999999999999997</v>
      </c>
      <c r="G107" s="24">
        <f>(1-F107)/F107</f>
        <v>3.545454545454546</v>
      </c>
      <c r="H107" s="15" t="inlineStr"/>
    </row>
    <row r="108">
      <c r="B108" s="28" t="n">
        <v>0.2</v>
      </c>
      <c r="C108" s="24">
        <f>($C$61-$C$55*B108/Constantes!$C$7+$C$69)/(($C$61-$C$55*B108/Constantes!$C$7+$C$69)+($D$61+$D$69)+($E$61+$E$69))</f>
        <v>0.2592594584937548</v>
      </c>
      <c r="D108" s="24">
        <f>($D$61+$D$69)/(($C$61-$C$55*B108/Constantes!$C$7+$C$69)+($D$61+$D$69)+($E$61+$E$69))</f>
        <v>0.6151045208879726</v>
      </c>
      <c r="E108" s="24">
        <f>($E$61+$E$69)/(($C$61-$C$55*B108/Constantes!$C$7+$C$69)+($D$61+$D$69)+($E$61+$E$69))</f>
        <v>0.12563602061827256</v>
      </c>
      <c r="F108" s="24">
        <f>$C$37*B108+$C$38*$C$40</f>
        <v>0.26</v>
      </c>
      <c r="G108" s="24">
        <f>(1-F108)/F108</f>
        <v>2.846153846153846</v>
      </c>
      <c r="H108" s="15" t="inlineStr"/>
    </row>
    <row r="109">
      <c r="B109" s="28" t="n">
        <v>0.242</v>
      </c>
      <c r="C109" s="24">
        <f>($C$61-$C$55*B109/Constantes!$C$7+$C$69)/(($C$61-$C$55*B109/Constantes!$C$7+$C$69)+($D$61+$D$69)+($E$61+$E$69))</f>
        <v>0.2428177719349032</v>
      </c>
      <c r="D109" s="24">
        <f>($D$61+$D$69)/(($C$61-$C$55*B109/Constantes!$C$7+$C$69)+($D$61+$D$69)+($E$61+$E$69))</f>
        <v>0.6287575548002353</v>
      </c>
      <c r="E109" s="24">
        <f>($E$61+$E$69)/(($C$61-$C$55*B109/Constantes!$C$7+$C$69)+($D$61+$D$69)+($E$61+$E$69))</f>
        <v>0.1284246732648614</v>
      </c>
      <c r="F109" s="24">
        <f>$C$37*B109+$C$38*$C$40</f>
        <v>0.29359999999999997</v>
      </c>
      <c r="G109" s="24">
        <f>(1-F109)/F109</f>
        <v>2.4059945504087197</v>
      </c>
      <c r="H109" s="15" t="inlineStr"/>
    </row>
    <row r="110">
      <c r="B110" s="12" t="inlineStr">
        <is>
          <t>±5 points de rendement déplacent le carbone du gaz de ±0.018 et k de ∓25 %. Priorité de mesure : la TGA d'abord, l'analyse élémentaire du liège ensuite — k gouverne le point de fonctionnement, la composition ne le déplace que marginalement.</t>
        </is>
      </c>
    </row>
    <row r="111">
      <c r="A111" s="20" t="inlineStr">
        <is>
          <t>&gt;</t>
        </is>
      </c>
      <c r="B111" s="20" t="inlineStr">
        <is>
          <t>Au rapport liège / résine — ce que le mélange change VRAIMENT</t>
        </is>
      </c>
    </row>
    <row r="112">
      <c r="B112" s="6" t="inlineStr">
        <is>
          <t>% masse de liège</t>
        </is>
      </c>
      <c r="C112" s="6" t="inlineStr">
        <is>
          <t>C</t>
        </is>
      </c>
      <c r="D112" s="6" t="inlineStr">
        <is>
          <t>H</t>
        </is>
      </c>
      <c r="E112" s="6" t="inlineStr">
        <is>
          <t>O</t>
        </is>
      </c>
      <c r="F112" s="6" t="inlineStr">
        <is>
          <t>y composite</t>
        </is>
      </c>
      <c r="G112" s="6" t="inlineStr">
        <is>
          <t>k = B'g/B'c</t>
        </is>
      </c>
      <c r="H112" s="6" t="inlineStr"/>
    </row>
    <row r="113">
      <c r="B113" s="28" t="n">
        <v>0</v>
      </c>
      <c r="C113" s="24">
        <f>((B113*100)*$C$50/100/Constantes!$C$7-(B113*100)*$C$52/Constantes!$C$7+((1-B113)*100)/$C$65*$C$41-((1-B113)*100)*$C$40/Constantes!$C$7)/(((B113*100)*$C$50/100/Constantes!$C$7-(B113*100)*$C$52/Constantes!$C$7+((1-B113)*100)/$C$65*$C$41-((1-B113)*100)*$C$40/Constantes!$C$7)+((B113*100)*$D$50/100/Constantes!$C$8+((1-B113)*100)/$C$65*$C$42)+((B113*100)*$E$50/100/Constantes!$C$9+((1-B113)*100)/$C$65*$C$43))</f>
        <v>0.2694800681194175</v>
      </c>
      <c r="D113" s="24">
        <f>((B113*100)*$D$50/100/Constantes!$C$8+((1-B113)*100)/$C$65*$C$42)/(((B113*100)*$C$50/100/Constantes!$C$7-(B113*100)*$C$52/Constantes!$C$7+((1-B113)*100)/$C$65*$C$41-((1-B113)*100)*$C$40/Constantes!$C$7)+((B113*100)*$D$50/100/Constantes!$C$8+((1-B113)*100)/$C$65*$C$42)+((B113*100)*$E$50/100/Constantes!$C$9+((1-B113)*100)/$C$65*$C$43))</f>
        <v>0.6261599416119279</v>
      </c>
      <c r="E113" s="24">
        <f>((B113*100)*$E$50/100/Constantes!$C$9+((1-B113)*100)/$C$65*$C$43)/(((B113*100)*$C$50/100/Constantes!$C$7-(B113*100)*$C$52/Constantes!$C$7+((1-B113)*100)/$C$65*$C$41-((1-B113)*100)*$C$40/Constantes!$C$7)+((B113*100)*$D$50/100/Constantes!$C$8+((1-B113)*100)/$C$65*$C$42)+((B113*100)*$E$50/100/Constantes!$C$9+((1-B113)*100)/$C$65*$C$43))</f>
        <v>0.10435999026865464</v>
      </c>
      <c r="F113" s="24">
        <f>B113*$C$52+(1-B113)*$C$40</f>
        <v>0.5</v>
      </c>
      <c r="G113" s="24">
        <f>(1-F113)/F113</f>
        <v>1.0</v>
      </c>
      <c r="H113" s="15" t="inlineStr"/>
    </row>
    <row r="114">
      <c r="B114" s="28" t="n">
        <v>0.5</v>
      </c>
      <c r="C114" s="24">
        <f>((B114*100)*$C$50/100/Constantes!$C$7-(B114*100)*$C$52/Constantes!$C$7+((1-B114)*100)/$C$65*$C$41-((1-B114)*100)*$C$40/Constantes!$C$7)/(((B114*100)*$C$50/100/Constantes!$C$7-(B114*100)*$C$52/Constantes!$C$7+((1-B114)*100)/$C$65*$C$41-((1-B114)*100)*$C$40/Constantes!$C$7)+((B114*100)*$D$50/100/Constantes!$C$8+((1-B114)*100)/$C$65*$C$42)+((B114*100)*$E$50/100/Constantes!$C$9+((1-B114)*100)/$C$65*$C$43))</f>
        <v>0.2818871958587098</v>
      </c>
      <c r="D114" s="24">
        <f>((B114*100)*$D$50/100/Constantes!$C$8+((1-B114)*100)/$C$65*$C$42)/(((B114*100)*$C$50/100/Constantes!$C$7-(B114*100)*$C$52/Constantes!$C$7+((1-B114)*100)/$C$65*$C$41-((1-B114)*100)*$C$40/Constantes!$C$7)+((B114*100)*$D$50/100/Constantes!$C$8+((1-B114)*100)/$C$65*$C$42)+((B114*100)*$E$50/100/Constantes!$C$9+((1-B114)*100)/$C$65*$C$43))</f>
        <v>0.6019461700502527</v>
      </c>
      <c r="E114" s="24">
        <f>((B114*100)*$E$50/100/Constantes!$C$9+((1-B114)*100)/$C$65*$C$43)/(((B114*100)*$C$50/100/Constantes!$C$7-(B114*100)*$C$52/Constantes!$C$7+((1-B114)*100)/$C$65*$C$41-((1-B114)*100)*$C$40/Constantes!$C$7)+((B114*100)*$D$50/100/Constantes!$C$8+((1-B114)*100)/$C$65*$C$42)+((B114*100)*$E$50/100/Constantes!$C$9+((1-B114)*100)/$C$65*$C$43))</f>
        <v>0.11616663409103745</v>
      </c>
      <c r="F114" s="24">
        <f>B114*$C$52+(1-B114)*$C$40</f>
        <v>0.3125</v>
      </c>
      <c r="G114" s="24">
        <f>(1-F114)/F114</f>
        <v>2.2</v>
      </c>
      <c r="H114" s="15" t="inlineStr"/>
    </row>
    <row r="115">
      <c r="B115" s="28" t="n">
        <v>0.8</v>
      </c>
      <c r="C115" s="24">
        <f>((B115*100)*$C$50/100/Constantes!$C$7-(B115*100)*$C$52/Constantes!$C$7+((1-B115)*100)/$C$65*$C$41-((1-B115)*100)*$C$40/Constantes!$C$7)/(((B115*100)*$C$50/100/Constantes!$C$7-(B115*100)*$C$52/Constantes!$C$7+((1-B115)*100)/$C$65*$C$41-((1-B115)*100)*$C$40/Constantes!$C$7)+((B115*100)*$D$50/100/Constantes!$C$8+((1-B115)*100)/$C$65*$C$42)+((B115*100)*$E$50/100/Constantes!$C$9+((1-B115)*100)/$C$65*$C$43))</f>
        <v>0.28690991608458866</v>
      </c>
      <c r="D115" s="24">
        <f>((B115*100)*$D$50/100/Constantes!$C$8+((1-B115)*100)/$C$65*$C$42)/(((B115*100)*$C$50/100/Constantes!$C$7-(B115*100)*$C$52/Constantes!$C$7+((1-B115)*100)/$C$65*$C$41-((1-B115)*100)*$C$40/Constantes!$C$7)+((B115*100)*$D$50/100/Constantes!$C$8+((1-B115)*100)/$C$65*$C$42)+((B115*100)*$E$50/100/Constantes!$C$9+((1-B115)*100)/$C$65*$C$43))</f>
        <v>0.5921438207295087</v>
      </c>
      <c r="E115" s="24">
        <f>((B115*100)*$E$50/100/Constantes!$C$9+((1-B115)*100)/$C$65*$C$43)/(((B115*100)*$C$50/100/Constantes!$C$7-(B115*100)*$C$52/Constantes!$C$7+((1-B115)*100)/$C$65*$C$41-((1-B115)*100)*$C$40/Constantes!$C$7)+((B115*100)*$D$50/100/Constantes!$C$8+((1-B115)*100)/$C$65*$C$42)+((B115*100)*$E$50/100/Constantes!$C$9+((1-B115)*100)/$C$65*$C$43))</f>
        <v>0.12094626318590257</v>
      </c>
      <c r="F115" s="24">
        <f>B115*$C$52+(1-B115)*$C$40</f>
        <v>0.2</v>
      </c>
      <c r="G115" s="24">
        <f>(1-F115)/F115</f>
        <v>4.0</v>
      </c>
      <c r="H115" s="15" t="inlineStr"/>
    </row>
    <row r="116">
      <c r="B116" s="28" t="n">
        <v>1</v>
      </c>
      <c r="C116" s="24">
        <f>((B116*100)*$C$50/100/Constantes!$C$7-(B116*100)*$C$52/Constantes!$C$7+((1-B116)*100)/$C$65*$C$41-((1-B116)*100)*$C$40/Constantes!$C$7)/(((B116*100)*$C$50/100/Constantes!$C$7-(B116*100)*$C$52/Constantes!$C$7+((1-B116)*100)/$C$65*$C$41-((1-B116)*100)*$C$40/Constantes!$C$7)+((B116*100)*$D$50/100/Constantes!$C$8+((1-B116)*100)/$C$65*$C$42)+((B116*100)*$E$50/100/Constantes!$C$9+((1-B116)*100)/$C$65*$C$43))</f>
        <v>0.2896288255601286</v>
      </c>
      <c r="D116" s="24">
        <f>((B116*100)*$D$50/100/Constantes!$C$8+((1-B116)*100)/$C$65*$C$42)/(((B116*100)*$C$50/100/Constantes!$C$7-(B116*100)*$C$52/Constantes!$C$7+((1-B116)*100)/$C$65*$C$41-((1-B116)*100)*$C$40/Constantes!$C$7)+((B116*100)*$D$50/100/Constantes!$C$8+((1-B116)*100)/$C$65*$C$42)+((B116*100)*$E$50/100/Constantes!$C$9+((1-B116)*100)/$C$65*$C$43))</f>
        <v>0.5868375923806941</v>
      </c>
      <c r="E116" s="24">
        <f>((B116*100)*$E$50/100/Constantes!$C$9+((1-B116)*100)/$C$65*$C$43)/(((B116*100)*$C$50/100/Constantes!$C$7-(B116*100)*$C$52/Constantes!$C$7+((1-B116)*100)/$C$65*$C$41-((1-B116)*100)*$C$40/Constantes!$C$7)+((B116*100)*$D$50/100/Constantes!$C$8+((1-B116)*100)/$C$65*$C$42)+((B116*100)*$E$50/100/Constantes!$C$9+((1-B116)*100)/$C$65*$C$43))</f>
        <v>0.12353358205917729</v>
      </c>
      <c r="F116" s="24">
        <f>B116*$C$52+(1-B116)*$C$40</f>
        <v>0.12500000000000003</v>
      </c>
      <c r="G116" s="24">
        <f>(1-F116)/F116</f>
        <v>6.999999999999998</v>
      </c>
      <c r="H116" s="15" t="inlineStr"/>
    </row>
    <row r="117">
      <c r="B117" s="12" t="inlineStr">
        <is>
          <t>Conclusion honnête : le rapport liège/résine entre bien dans la table B' (contrairement au cas carbone/phénolique), mais son effet DIRECT sur la composition du gaz est modeste — les deux gaz se ressemblent. Son effet DOMINANT est sur la QUANTITÉ de gaz, c.-à-d. sur k, multiplié par sept entre la résine pure et le liège pur.</t>
        </is>
      </c>
    </row>
    <row r="119" ht="18" customHeight="1">
      <c r="A119" s="4" t="inlineStr">
        <is>
          <t>§7 — RÉPONSE MATÉRIAU (n'entre PAS dans le XML)</t>
        </is>
      </c>
    </row>
    <row r="120">
      <c r="B120" s="35" t="inlineStr">
        <is>
          <t>k = B'g/B'c = m_gaz / m_char = (1 − y)/y</t>
        </is>
      </c>
      <c r="C120" s="46">
        <f>F57/E57</f>
        <v>4.0</v>
      </c>
      <c r="I120" s="12" t="inlineStr">
        <is>
          <t>attendu 4.0 — QUINZE FOIS le TACOT (0.273). Le matériau fonctionne à très fort soufflage pyrolytique.</t>
        </is>
      </c>
    </row>
    <row r="121">
      <c r="B121" s="35" t="inlineStr">
        <is>
          <t>k si l'on prenait les densités : (ρ_v − ρ_c)/ρ_c</t>
        </is>
      </c>
      <c r="C121" s="46">
        <f>(C44-C45)/C45</f>
        <v>0.610515392597717</v>
      </c>
      <c r="I121" s="12" t="inlineStr">
        <is>
          <t>0.61 — SIX FOIS TROP PEU. Le piège de H6 : l'identité suppose un volume constant, que le P50 ne respecte pas.</t>
        </is>
      </c>
    </row>
    <row r="122">
      <c r="B122" s="35" t="inlineStr">
        <is>
          <t>V_char / V_vierge impliqué</t>
        </is>
      </c>
      <c r="C122" s="70">
        <f>$C$39*C44/C45</f>
        <v>0.3221030785195434</v>
      </c>
      <c r="I122" s="12" t="inlineStr">
        <is>
          <t>≈ 0.32 alors que la masse résiduelle est 0.20 : le char se rétracte</t>
        </is>
      </c>
    </row>
    <row r="123">
      <c r="B123" s="12" t="inlineStr">
        <is>
          <t>Conséquences pratiques : (1) balayer B'g jusqu'à ~10, pas jusqu'à 2 — une table s'arrêtant à B'g = 2 ne couvre pas le point de fonctionnement au-delà de ~3500 K ; (2) la récession se lit sur la ρ_char MESURÉE (289.1 kg/m³) et non sur 0.20·ρ_v = 93 kg/m³, sans quoi elle serait surestimée d'un facteur trois ; (3) le soufflage divise par 2.6 l'ablation du char en régime d'oxydation à 1000 K — effet marginal pour un TACOT, dominant ici.</t>
        </is>
      </c>
    </row>
    <row r="125" ht="18" customHeight="1">
      <c r="A125" s="4" t="inlineStr">
        <is>
          <t>§8 — BLOC XML</t>
        </is>
      </c>
    </row>
    <row r="126">
      <c r="B126" s="29" t="inlineStr">
        <is>
          <t>&lt;mixture thermo_db="NASA-9"&gt;</t>
        </is>
      </c>
    </row>
    <row r="127">
      <c r="B127" s="29" t="inlineStr">
        <is>
          <t xml:space="preserve">    &lt;species&gt;</t>
        </is>
      </c>
    </row>
    <row r="128">
      <c r="B128" s="29" t="inlineStr">
        <is>
          <t xml:space="preserve">       C H O N CH4 CN CO CO2 C2 C2H C2H2,acetylene C3 C4 C4H2,butadiyne C5</t>
        </is>
      </c>
    </row>
    <row r="129">
      <c r="B129" s="29" t="inlineStr">
        <is>
          <t xml:space="preserve">       HCN H2 H2O N2 CH2OH CNN CNC CNCOCN C6H6 HNC C(gr)</t>
        </is>
      </c>
    </row>
    <row r="130">
      <c r="B130" s="29" t="inlineStr">
        <is>
          <t xml:space="preserve">    &lt;/species&gt;</t>
        </is>
      </c>
    </row>
    <row r="131">
      <c r="B131" s="29" t="inlineStr">
        <is>
          <t xml:space="preserve">    &lt;element_compositions default="air"&gt;</t>
        </is>
      </c>
    </row>
    <row r="132">
      <c r="B132" s="29" t="inlineStr">
        <is>
          <t xml:space="preserve">        &lt;composition name="air"&gt;N:0.79, O:0.21&lt;/composition&gt;</t>
        </is>
      </c>
    </row>
    <row r="133">
      <c r="B133" s="29" t="inlineStr">
        <is>
          <t xml:space="preserve">        &lt;composition name="cork_pyro"&gt;C:0.287, H:0.592, O:0.121&lt;/composition&gt;</t>
        </is>
      </c>
    </row>
    <row r="134">
      <c r="B134" s="29" t="inlineStr">
        <is>
          <t xml:space="preserve">        &lt;composition name="cork_char"&gt;C:1.0&lt;/composition&gt;</t>
        </is>
      </c>
    </row>
    <row r="135">
      <c r="B135" s="29" t="inlineStr">
        <is>
          <t xml:space="preserve">    &lt;/element_compositions&gt;</t>
        </is>
      </c>
    </row>
    <row r="136">
      <c r="B136" s="29" t="inlineStr">
        <is>
          <t>&lt;/mixture&gt;</t>
        </is>
      </c>
    </row>
  </sheetData>
  <mergeCells count="52">
    <mergeCell ref="B135:I135"/>
    <mergeCell ref="B75:I75"/>
    <mergeCell ref="B129:I129"/>
    <mergeCell ref="B25:I25"/>
    <mergeCell ref="B134:I134"/>
    <mergeCell ref="B64:H64"/>
    <mergeCell ref="A3:I3"/>
    <mergeCell ref="B15:H15"/>
    <mergeCell ref="B51:H51"/>
    <mergeCell ref="B93:I93"/>
    <mergeCell ref="A21:I21"/>
    <mergeCell ref="A101:I101"/>
    <mergeCell ref="B131:I131"/>
    <mergeCell ref="B58:I58"/>
    <mergeCell ref="B94:H94"/>
    <mergeCell ref="A2:I2"/>
    <mergeCell ref="B130:I130"/>
    <mergeCell ref="A47:I47"/>
    <mergeCell ref="A5:I5"/>
    <mergeCell ref="A85:I85"/>
    <mergeCell ref="B117:I117"/>
    <mergeCell ref="B16:H16"/>
    <mergeCell ref="B136:I136"/>
    <mergeCell ref="B90:H90"/>
    <mergeCell ref="B59:H59"/>
    <mergeCell ref="B132:I132"/>
    <mergeCell ref="A125:I125"/>
    <mergeCell ref="B22:H22"/>
    <mergeCell ref="B18:H18"/>
    <mergeCell ref="B27:H27"/>
    <mergeCell ref="B102:H102"/>
    <mergeCell ref="A13:I13"/>
    <mergeCell ref="B70:H70"/>
    <mergeCell ref="B99:I99"/>
    <mergeCell ref="B48:H48"/>
    <mergeCell ref="B86:H86"/>
    <mergeCell ref="B111:H111"/>
    <mergeCell ref="B128:I128"/>
    <mergeCell ref="A77:I77"/>
    <mergeCell ref="B127:I127"/>
    <mergeCell ref="B14:H14"/>
    <mergeCell ref="B17:H17"/>
    <mergeCell ref="B53:H53"/>
    <mergeCell ref="B133:I133"/>
    <mergeCell ref="A1:I1"/>
    <mergeCell ref="B89:I89"/>
    <mergeCell ref="B123:I123"/>
    <mergeCell ref="A119:I119"/>
    <mergeCell ref="B110:I110"/>
    <mergeCell ref="B19:H19"/>
    <mergeCell ref="B35:I35"/>
    <mergeCell ref="B126:I126"/>
  </mergeCells>
  <pageMargins left="0.75" right="0.75" top="1" bottom="1" header="0.5" footer="0.5"/>
</worksheet>
</file>

<file path=xl/worksheets/sheet9.xml><?xml version="1.0" encoding="utf-8"?>
<worksheet xmlns="http://schemas.openxmlformats.org/spreadsheetml/2006/main">
  <sheetPr>
    <tabColor rgb="007F6000"/>
    <outlinePr summaryBelow="1" summaryRight="1"/>
    <pageSetUpPr/>
  </sheetPr>
  <dimension ref="A1:I122"/>
  <sheetViews>
    <sheetView showGridLines="0" workbookViewId="0">
      <pane ySplit="4" topLeftCell="A5" activePane="bottomLeft" state="frozen"/>
      <selection pane="bottomLeft" activeCell="A1" sqref="A1"/>
    </sheetView>
  </sheetViews>
  <sheetFormatPr baseColWidth="8" defaultRowHeight="15"/>
  <cols>
    <col width="4.5" customWidth="1" min="1" max="1"/>
    <col width="34" customWidth="1" min="2" max="2"/>
    <col width="13" customWidth="1" min="3" max="3"/>
    <col width="13" customWidth="1" min="4" max="4"/>
    <col width="13" customWidth="1" min="5" max="5"/>
    <col width="13" customWidth="1" min="6" max="6"/>
    <col width="13" customWidth="1" min="7" max="7"/>
    <col width="13" customWidth="1" min="8" max="8"/>
    <col width="72" customWidth="1" min="9" max="9"/>
  </cols>
  <sheetData>
    <row r="1" ht="26" customHeight="1">
      <c r="A1" s="1" t="inlineStr">
        <is>
          <t>Bois de chêne — ablateur pyrolysant à un seul constituant</t>
        </is>
      </c>
    </row>
    <row r="2" ht="16" customHeight="1">
      <c r="A2" s="2" t="inlineStr">
        <is>
          <t>Le cas le plus simple des ablateurs pyrolysants : TOUT le solide pyrolyse, sans résine ni renfort inerte — une seule fermeture élémentaire bois − char</t>
        </is>
      </c>
    </row>
    <row r="3">
      <c r="A3" s="3" t="inlineStr">
        <is>
          <t>Fichier(s) XML : data/mixtures/oak-air.xml · oak-pyrogas.xml</t>
        </is>
      </c>
    </row>
    <row r="5" ht="18" customHeight="1">
      <c r="A5" s="4" t="inlineStr">
        <is>
          <t>§0 — FICHE D'IDENTITÉ</t>
        </is>
      </c>
    </row>
    <row r="6">
      <c r="B6" s="35" t="inlineStr">
        <is>
          <t>Matériau</t>
        </is>
      </c>
      <c r="C6" s="30" t="inlineStr">
        <is>
          <t>bois de chêne massif (Quercus robur / Q. petraea), SEC, sans résine</t>
        </is>
      </c>
      <c r="I6" s="12" t="inlineStr">
        <is>
          <t>feuillu — à ne pas confondre avec le liège (Q. suber)</t>
        </is>
      </c>
    </row>
    <row r="7">
      <c r="B7" s="35" t="inlineStr">
        <is>
          <t>Constituants</t>
        </is>
      </c>
      <c r="C7" s="30" t="inlineStr">
        <is>
          <t>cellulose 43 / hémicelluloses 22 / lignine S+G 25 / ellagitanins 8 %</t>
        </is>
      </c>
      <c r="I7" s="12" t="inlineStr">
        <is>
          <t>IL PYROLYSE ENTIÈREMENT : 80 % du bois part en gaz</t>
        </is>
      </c>
    </row>
    <row r="8">
      <c r="B8" s="35" t="inlineStr">
        <is>
          <t>Rendement en char</t>
        </is>
      </c>
      <c r="C8" s="30" t="inlineStr">
        <is>
          <t>20 % en masse</t>
        </is>
      </c>
      <c r="I8" s="12" t="inlineStr">
        <is>
          <t>donnée de l'énoncé</t>
        </is>
      </c>
    </row>
    <row r="9">
      <c r="B9" s="35" t="inlineStr">
        <is>
          <t>Unité de répétition globale</t>
        </is>
      </c>
      <c r="C9" s="30" t="inlineStr">
        <is>
          <t>C6H8.7O3.95 — soit CH1.45O0.66 par atome de carbone</t>
        </is>
      </c>
      <c r="I9" s="12" t="inlineStr">
        <is>
          <t>calculée à l'étape 5 du §3</t>
        </is>
      </c>
    </row>
    <row r="10">
      <c r="B10" s="35" t="inlineStr">
        <is>
          <t>Sources</t>
        </is>
      </c>
      <c r="C10" s="30" t="inlineStr">
        <is>
          <t>oak_bprime/mise_en_donnees_chene.md · oak_pyrolysis_data.py</t>
        </is>
      </c>
      <c r="I10" s="12" t="inlineStr"/>
    </row>
    <row r="11">
      <c r="B11" s="35" t="inlineStr">
        <is>
          <t>Compositions du XML</t>
        </is>
      </c>
      <c r="C11" s="30" t="inlineStr">
        <is>
          <t>air (-bl) · oak_pyro (-py) · oak_char (-char, -char-elem C)</t>
        </is>
      </c>
      <c r="I11" s="12" t="inlineStr"/>
    </row>
    <row r="13" ht="18" customHeight="1">
      <c r="A13" s="4" t="inlineStr">
        <is>
          <t>§1 — HYPOTHÈSES</t>
        </is>
      </c>
    </row>
    <row r="14" ht="26" customHeight="1">
      <c r="A14" s="20" t="inlineStr">
        <is>
          <t>H1</t>
        </is>
      </c>
      <c r="B14" s="5" t="inlineStr">
        <is>
          <t>UN SEUL CONSTITUANT, QUI PYROLYSE ENTIÈREMENT. Gaz = bois − char, sans mélange de gaz.</t>
        </is>
      </c>
      <c r="I14" s="12" t="inlineStr">
        <is>
          <t>Route C (fermeture élémentaire), mais partant d'une ANALYSE élémentaire et non d'un motif idéalisé. Pas de rapport renfort/résine : contrairement au liège, rien d'autre que le rendement en char ne pondère le gaz.</t>
        </is>
      </c>
    </row>
    <row r="15" ht="26" customHeight="1">
      <c r="A15" s="20" t="inlineStr">
        <is>
          <t>H2</t>
        </is>
      </c>
      <c r="B15" s="5" t="inlineStr">
        <is>
          <t>Bois SEC. L'humidité (8-12 % dans un bois stabilisé à l'air) n'est pas comptée.</t>
        </is>
      </c>
      <c r="I15" s="12" t="inlineStr">
        <is>
          <t>Elle partirait intégralement en vapeur d'eau, donc dans le gaz : le §6 chiffre la variante (gaz plus riche en H et O, k plus grand).</t>
        </is>
      </c>
    </row>
    <row r="16" ht="26" customHeight="1">
      <c r="A16" s="20" t="inlineStr">
        <is>
          <t>H3</t>
        </is>
      </c>
      <c r="B16" s="5" t="inlineStr">
        <is>
          <t>Analyse élémentaire du chêne retenue : C 50.0 / H 6.1 / O 43.9 % masse (littérature, sec sans cendres).</t>
        </is>
      </c>
      <c r="I16" s="12" t="inlineStr">
        <is>
          <t>PROVENANCE À CONFIRMER : valeurs usuelles pour le bois de chêne, non vérifiées sur une source primaire accessible. Le contrôle biochimique du §5 les retrouve à 0.4 point près. L'azote (0.1-0.3 %) est négligé.</t>
        </is>
      </c>
    </row>
    <row r="17" ht="26" customHeight="1">
      <c r="A17" s="20" t="inlineStr">
        <is>
          <t>H4</t>
        </is>
      </c>
      <c r="B17" s="5" t="inlineStr">
        <is>
          <t>Rendement en char : 20 % en masse du bois sec.</t>
        </is>
      </c>
      <c r="I17" s="12" t="inlineStr">
        <is>
          <t>Donnée de l'énoncé. C'est LE paramètre du calcul : il fixe à la fois le carbone du gaz et le couplage k (§6). Le contrôle par additivité des constituants donne 22 %.</t>
        </is>
      </c>
    </row>
    <row r="18" ht="26" customHeight="1">
      <c r="A18" s="20" t="inlineStr">
        <is>
          <t>H5</t>
        </is>
      </c>
      <c r="B18" s="5" t="inlineStr">
        <is>
          <t>Le bois carbonise vers du carbone pur ⇒ char C:1.0.</t>
        </is>
      </c>
      <c r="I18" s="12" t="inlineStr">
        <is>
          <t>Un charbon de bois réel retient H et O (d'autant plus que la carbonisation est froide) : le §5 chiffre la variante — et rappelle qu'il faut alors RETIRER ces atomes du gaz.</t>
        </is>
      </c>
    </row>
    <row r="19" ht="26" customHeight="1">
      <c r="A19" s="20" t="inlineStr">
        <is>
          <t>H6</t>
        </is>
      </c>
      <c r="B19" s="5" t="inlineStr">
        <is>
          <t>Le couplage stationnaire se calcule sur les MASSES : k = (1 − y)/y = 4.0.</t>
        </is>
      </c>
      <c r="I19" s="12" t="inlineStr">
        <is>
          <t>L'identité k = (ρ_v − ρ_c)/ρ_c suppose un volume constant ; le bois se rétracte en carbonisant (retrait volumique typiquement 30-50 %).</t>
        </is>
      </c>
    </row>
    <row r="21" ht="18" customHeight="1">
      <c r="A21" s="4" t="inlineStr">
        <is>
          <t>§2 — DONNÉES D'ENTRÉE</t>
        </is>
      </c>
    </row>
    <row r="22">
      <c r="A22" s="20" t="inlineStr">
        <is>
          <t>&gt;</t>
        </is>
      </c>
      <c r="B22" s="20" t="inlineStr">
        <is>
          <t>Analyse élémentaire du chêne — valeurs de littérature (RETENUES)</t>
        </is>
      </c>
      <c r="I22" s="27" t="inlineStr">
        <is>
          <t>% masse, sec sans cendres</t>
        </is>
      </c>
    </row>
    <row r="23">
      <c r="B23" s="6" t="inlineStr"/>
      <c r="C23" s="6" t="inlineStr">
        <is>
          <t>C</t>
        </is>
      </c>
      <c r="D23" s="6" t="inlineStr">
        <is>
          <t>H</t>
        </is>
      </c>
      <c r="E23" s="6" t="inlineStr">
        <is>
          <t>O</t>
        </is>
      </c>
      <c r="F23" s="6" t="inlineStr">
        <is>
          <t>Somme</t>
        </is>
      </c>
      <c r="G23" s="6" t="inlineStr"/>
      <c r="H23" s="6" t="inlineStr"/>
    </row>
    <row r="24">
      <c r="B24" s="7" t="inlineStr">
        <is>
          <t>chêne [% masse]</t>
        </is>
      </c>
      <c r="C24" s="69" t="n">
        <v>50</v>
      </c>
      <c r="D24" s="69" t="n">
        <v>6.1</v>
      </c>
      <c r="E24" s="69" t="n">
        <v>43.9</v>
      </c>
      <c r="F24" s="9">
        <f>SUM(C24:E24)</f>
        <v>100.0</v>
      </c>
      <c r="G24" s="15" t="inlineStr"/>
      <c r="H24" s="15" t="inlineStr"/>
    </row>
    <row r="25">
      <c r="B25" s="12" t="inlineStr">
        <is>
          <t>La somme vaut 100 % : l'étape 1 renormalise quand même, pour qu'une analyse mesurée (qui ne somme jamais exactement à 100) puisse être collée ici telle quelle.</t>
        </is>
      </c>
    </row>
    <row r="27">
      <c r="A27" s="20" t="inlineStr">
        <is>
          <t>&gt;</t>
        </is>
      </c>
      <c r="B27" s="20" t="inlineStr">
        <is>
          <t>Constituants biochimiques du chêne et leurs unités de répétition (sert au contrôle du §5)</t>
        </is>
      </c>
      <c r="I27" s="27" t="inlineStr">
        <is>
          <t>M_i = Σ_E ν_E,i · M_E</t>
        </is>
      </c>
    </row>
    <row r="28">
      <c r="B28" s="6" t="inlineStr">
        <is>
          <t>Constituant — unité de répétition</t>
        </is>
      </c>
      <c r="C28" s="6" t="inlineStr">
        <is>
          <t>% masse</t>
        </is>
      </c>
      <c r="D28" s="6" t="inlineStr">
        <is>
          <t>ν_C</t>
        </is>
      </c>
      <c r="E28" s="6" t="inlineStr">
        <is>
          <t>ν_H</t>
        </is>
      </c>
      <c r="F28" s="6" t="inlineStr">
        <is>
          <t>ν_O</t>
        </is>
      </c>
      <c r="G28" s="6" t="inlineStr">
        <is>
          <t>M [g/mol]</t>
        </is>
      </c>
      <c r="H28" s="6" t="inlineStr">
        <is>
          <t>rendement en char</t>
        </is>
      </c>
    </row>
    <row r="29">
      <c r="B29" s="7" t="inlineStr">
        <is>
          <t>cellulose — C6H10O5 (anhydroglucose)</t>
        </is>
      </c>
      <c r="C29" s="36" t="n">
        <v>43</v>
      </c>
      <c r="D29" s="40" t="n">
        <v>6</v>
      </c>
      <c r="E29" s="40" t="n">
        <v>10</v>
      </c>
      <c r="F29" s="40" t="n">
        <v>5</v>
      </c>
      <c r="G29" s="9">
        <f>D29*Constantes!$C$7+E29*Constantes!$C$8+F29*Constantes!$C$9</f>
        <v>162.14100000000002</v>
      </c>
      <c r="H29" s="36" t="n">
        <v>0.1</v>
      </c>
    </row>
    <row r="30">
      <c r="B30" s="7" t="inlineStr">
        <is>
          <t>hémicelluloses — C5H8O4 (anhydroxylose, glucuronoxylane)</t>
        </is>
      </c>
      <c r="C30" s="36" t="n">
        <v>22</v>
      </c>
      <c r="D30" s="40" t="n">
        <v>5</v>
      </c>
      <c r="E30" s="40" t="n">
        <v>8</v>
      </c>
      <c r="F30" s="40" t="n">
        <v>4</v>
      </c>
      <c r="G30" s="9">
        <f>D30*Constantes!$C$7+E30*Constantes!$C$8+F30*Constantes!$C$9</f>
        <v>132.115</v>
      </c>
      <c r="H30" s="36" t="n">
        <v>0.2</v>
      </c>
    </row>
    <row r="31">
      <c r="B31" s="7" t="inlineStr">
        <is>
          <t>lignine S — C11H14O4 (alcool sinapylique)</t>
        </is>
      </c>
      <c r="C31" s="36" t="n">
        <v>16</v>
      </c>
      <c r="D31" s="40" t="n">
        <v>11</v>
      </c>
      <c r="E31" s="40" t="n">
        <v>14</v>
      </c>
      <c r="F31" s="40" t="n">
        <v>4</v>
      </c>
      <c r="G31" s="9">
        <f>D31*Constantes!$C$7+E31*Constantes!$C$8+F31*Constantes!$C$9</f>
        <v>210.22899999999998</v>
      </c>
      <c r="H31" s="36" t="n">
        <v>0.35</v>
      </c>
    </row>
    <row r="32">
      <c r="B32" s="7" t="inlineStr">
        <is>
          <t>lignine G — C10H12O3 (alcool coniférylique)</t>
        </is>
      </c>
      <c r="C32" s="36" t="n">
        <v>9</v>
      </c>
      <c r="D32" s="40" t="n">
        <v>10</v>
      </c>
      <c r="E32" s="40" t="n">
        <v>12</v>
      </c>
      <c r="F32" s="40" t="n">
        <v>3</v>
      </c>
      <c r="G32" s="9">
        <f>D32*Constantes!$C$7+E32*Constantes!$C$8+F32*Constantes!$C$9</f>
        <v>180.20299999999997</v>
      </c>
      <c r="H32" s="36" t="n">
        <v>0.45</v>
      </c>
    </row>
    <row r="33">
      <c r="B33" s="7" t="inlineStr">
        <is>
          <t>tanins — C41H26O26 (vescalagine, ellagitanin)</t>
        </is>
      </c>
      <c r="C33" s="36" t="n">
        <v>8</v>
      </c>
      <c r="D33" s="40" t="n">
        <v>41</v>
      </c>
      <c r="E33" s="40" t="n">
        <v>26</v>
      </c>
      <c r="F33" s="40" t="n">
        <v>26</v>
      </c>
      <c r="G33" s="9">
        <f>D33*Constantes!$C$7+E33*Constantes!$C$8+F33*Constantes!$C$9</f>
        <v>934.633</v>
      </c>
      <c r="H33" s="36" t="n">
        <v>0.4</v>
      </c>
    </row>
    <row r="34">
      <c r="B34" s="13" t="inlineStr">
        <is>
          <t>SOMME des parts</t>
        </is>
      </c>
      <c r="C34" s="9">
        <f>SUM(C29:C33)</f>
        <v>98.0</v>
      </c>
      <c r="D34" s="15" t="inlineStr"/>
      <c r="E34" s="15" t="inlineStr"/>
      <c r="F34" s="15" t="inlineStr"/>
      <c r="G34" s="15" t="inlineStr"/>
      <c r="H34" s="15" t="inlineStr"/>
    </row>
    <row r="35">
      <c r="B35" s="12" t="inlineStr">
        <is>
          <t>Les parts somment à 98 % : le complément (cendres ~0.4 %, groupes acétyles des hémicelluloses, extractibles mineurs) n'est pas de la matière C/H/O identifiée. On renormalise sur les 98 % déclarés. La lignine de feuillu est répartie en 16 % S + 9 % G en masse, soit S/G = 1.52 en moles. Les rendements en char par constituant (dernière colonne) sont des ordres de grandeur d'ATG lente sous inerte — ils servent au contrôle B du §5, pas au calcul du XML.</t>
        </is>
      </c>
    </row>
    <row r="37">
      <c r="B37" s="35" t="inlineStr">
        <is>
          <t>rendement en char du bois sec</t>
        </is>
      </c>
      <c r="C37" s="71" t="n">
        <v>0.2</v>
      </c>
      <c r="I37" s="12" t="inlineStr">
        <is>
          <t>hypothèse H4 — donnée de l'énoncé</t>
        </is>
      </c>
    </row>
    <row r="38">
      <c r="B38" s="35" t="inlineStr">
        <is>
          <t>ρ vierge [kg/m³]</t>
        </is>
      </c>
      <c r="C38" s="30" t="n">
        <v>700</v>
      </c>
      <c r="I38" s="12" t="inlineStr">
        <is>
          <t>chêne sec, ordre de grandeur 650-750 kg/m³ — n'entre PAS dans le XML</t>
        </is>
      </c>
    </row>
    <row r="39">
      <c r="B39" s="35" t="inlineStr">
        <is>
          <t>V_char / V_vierge (retrait volumique)</t>
        </is>
      </c>
      <c r="C39" s="72" t="n">
        <v>0.55</v>
      </c>
      <c r="I39" s="12" t="inlineStr">
        <is>
          <t>HYPOTHÈSE, non mesurée ici — à remplacer par une mesure (§7)</t>
        </is>
      </c>
    </row>
    <row r="41" ht="18" customHeight="1">
      <c r="A41" s="4" t="inlineStr">
        <is>
          <t>§3 — CALCUL PAS À PAS</t>
        </is>
      </c>
    </row>
    <row r="42">
      <c r="A42" s="20" t="inlineStr">
        <is>
          <t>&gt;</t>
        </is>
      </c>
      <c r="B42" s="20" t="inlineStr">
        <is>
          <t>Étape 1 — renormaliser l'analyse élémentaire du chêne à 100 %</t>
        </is>
      </c>
      <c r="I42" s="27" t="inlineStr">
        <is>
          <t>w_E = w_E,brut / Σ w_j,brut</t>
        </is>
      </c>
    </row>
    <row r="43">
      <c r="B43" s="6" t="inlineStr"/>
      <c r="C43" s="6" t="inlineStr">
        <is>
          <t>C</t>
        </is>
      </c>
      <c r="D43" s="6" t="inlineStr">
        <is>
          <t>H</t>
        </is>
      </c>
      <c r="E43" s="6" t="inlineStr">
        <is>
          <t>O</t>
        </is>
      </c>
      <c r="F43" s="6" t="inlineStr">
        <is>
          <t>Somme</t>
        </is>
      </c>
      <c r="G43" s="6" t="inlineStr"/>
      <c r="H43" s="6" t="inlineStr"/>
    </row>
    <row r="44">
      <c r="B44" s="7" t="inlineStr">
        <is>
          <t>chêne renormalisé [% masse]</t>
        </is>
      </c>
      <c r="C44" s="9">
        <f>C24/$F$24*100</f>
        <v>50.0</v>
      </c>
      <c r="D44" s="9">
        <f>D24/$F$24*100</f>
        <v>6.1</v>
      </c>
      <c r="E44" s="9">
        <f>E24/$F$24*100</f>
        <v>43.9</v>
      </c>
      <c r="F44" s="9">
        <f>SUM(C44:E44)</f>
        <v>100.0</v>
      </c>
      <c r="G44" s="15" t="inlineStr"/>
      <c r="H44" s="15" t="inlineStr"/>
    </row>
    <row r="45">
      <c r="A45" s="20" t="inlineStr">
        <is>
          <t>&gt;</t>
        </is>
      </c>
      <c r="B45" s="20" t="inlineStr">
        <is>
          <t>Étape 2 — bilan de masse sur 100 g de bois sec</t>
        </is>
      </c>
      <c r="I45" s="27" t="inlineStr">
        <is>
          <t>m_char = 100 · y ;  m_gaz = 100 · (1 − y)</t>
        </is>
      </c>
    </row>
    <row r="46">
      <c r="B46" s="6" t="inlineStr"/>
      <c r="C46" s="6" t="inlineStr">
        <is>
          <t>masse [g]</t>
        </is>
      </c>
      <c r="D46" s="6" t="inlineStr">
        <is>
          <t>rendement char</t>
        </is>
      </c>
      <c r="E46" s="6" t="inlineStr">
        <is>
          <t>char [g]</t>
        </is>
      </c>
      <c r="F46" s="6" t="inlineStr">
        <is>
          <t>gaz [g]</t>
        </is>
      </c>
      <c r="G46" s="6" t="inlineStr"/>
      <c r="H46" s="6" t="inlineStr"/>
    </row>
    <row r="47">
      <c r="B47" s="7" t="inlineStr">
        <is>
          <t>bois sec</t>
        </is>
      </c>
      <c r="C47" s="9" t="n">
        <v>100</v>
      </c>
      <c r="D47" s="24">
        <f>$C$37</f>
        <v>0.2</v>
      </c>
      <c r="E47" s="9">
        <f>C47*D47</f>
        <v>20.0</v>
      </c>
      <c r="F47" s="9">
        <f>C47-E47</f>
        <v>80.0</v>
      </c>
      <c r="G47" s="15" t="inlineStr"/>
      <c r="H47" s="15" t="inlineStr"/>
    </row>
    <row r="48">
      <c r="A48" s="20" t="inlineStr">
        <is>
          <t>&gt;</t>
        </is>
      </c>
      <c r="B48" s="20" t="inlineStr">
        <is>
          <t>Étape 3 — fermeture élémentaire : aucun atome n'est créé</t>
        </is>
      </c>
      <c r="I48" s="27" t="inlineStr">
        <is>
          <t>n_E(gaz) = n_E(bois) − n_E(char)</t>
        </is>
      </c>
    </row>
    <row r="49">
      <c r="B49" s="6" t="inlineStr">
        <is>
          <t>Moles d'atomes</t>
        </is>
      </c>
      <c r="C49" s="6" t="inlineStr">
        <is>
          <t>C</t>
        </is>
      </c>
      <c r="D49" s="6" t="inlineStr">
        <is>
          <t>H</t>
        </is>
      </c>
      <c r="E49" s="6" t="inlineStr">
        <is>
          <t>O</t>
        </is>
      </c>
      <c r="F49" s="6" t="inlineStr">
        <is>
          <t>Somme</t>
        </is>
      </c>
      <c r="G49" s="6" t="inlineStr"/>
      <c r="H49" s="6" t="inlineStr"/>
    </row>
    <row r="50">
      <c r="B50" s="7" t="inlineStr">
        <is>
          <t>bois — atomes du solide vierge</t>
        </is>
      </c>
      <c r="C50" s="26">
        <f>$C$47*C44/100/Constantes!$C$7</f>
        <v>4.162850720173175</v>
      </c>
      <c r="D50" s="26">
        <f>$C$47*D44/100/Constantes!$C$8</f>
        <v>6.051587301587301</v>
      </c>
      <c r="E50" s="26">
        <f>$C$47*E44/100/Constantes!$C$9</f>
        <v>2.743921495093443</v>
      </c>
      <c r="F50" s="26">
        <f>SUM(C50:E50)</f>
        <v>12.958359516853918</v>
      </c>
      <c r="G50" s="15" t="inlineStr"/>
      <c r="H50" s="15" t="inlineStr"/>
    </row>
    <row r="51">
      <c r="B51" s="7" t="inlineStr">
        <is>
          <t>bois — atomes du char (C pur)</t>
        </is>
      </c>
      <c r="C51" s="26">
        <f>$E$47/Constantes!$C$7</f>
        <v>1.6651402880692698</v>
      </c>
      <c r="D51" s="26" t="n">
        <v>0</v>
      </c>
      <c r="E51" s="26" t="n">
        <v>0</v>
      </c>
      <c r="F51" s="26">
        <f>SUM(C51:E51)</f>
        <v>1.6651402880692698</v>
      </c>
      <c r="G51" s="15" t="inlineStr"/>
      <c r="H51" s="15" t="inlineStr"/>
    </row>
    <row r="52">
      <c r="B52" s="13" t="inlineStr">
        <is>
          <t>GAZ = bois − char</t>
        </is>
      </c>
      <c r="C52" s="26">
        <f>C50-C51</f>
        <v>2.497710432103905</v>
      </c>
      <c r="D52" s="26">
        <f>D50-D51</f>
        <v>6.051587301587301</v>
      </c>
      <c r="E52" s="26">
        <f>E50-E51</f>
        <v>2.743921495093443</v>
      </c>
      <c r="F52" s="26">
        <f>SUM(C52:E52)</f>
        <v>11.29321922878465</v>
      </c>
      <c r="G52" s="15" t="inlineStr"/>
      <c r="H52" s="15" t="inlineStr"/>
    </row>
    <row r="53">
      <c r="B53" s="12" t="inlineStr">
        <is>
          <t>Le char ne prend que du carbone : tout l'hydrogène et tout l'oxygène du bois passent dans le gaz. Le char emporte 1.665 des 4.163 moles de carbone, soit 40 % du carbone du bois.</t>
        </is>
      </c>
    </row>
    <row r="54">
      <c r="A54" s="20" t="inlineStr">
        <is>
          <t>&gt;</t>
        </is>
      </c>
      <c r="B54" s="20" t="inlineStr">
        <is>
          <t>Étape 4 — normaliser</t>
        </is>
      </c>
      <c r="I54" s="27" t="inlineStr">
        <is>
          <t>x_E = n_E / Σ n_j ;  y_E = x_E·M_E / Σ x_j·M_j</t>
        </is>
      </c>
    </row>
    <row r="55">
      <c r="B55" s="6" t="inlineStr"/>
      <c r="C55" s="6" t="inlineStr">
        <is>
          <t>C</t>
        </is>
      </c>
      <c r="D55" s="6" t="inlineStr">
        <is>
          <t>H</t>
        </is>
      </c>
      <c r="E55" s="6" t="inlineStr">
        <is>
          <t>O</t>
        </is>
      </c>
      <c r="F55" s="6" t="inlineStr">
        <is>
          <t>Somme</t>
        </is>
      </c>
      <c r="G55" s="6" t="inlineStr">
        <is>
          <t>M par atome [g/mol]</t>
        </is>
      </c>
      <c r="H55" s="6" t="inlineStr">
        <is>
          <t>H/O</t>
        </is>
      </c>
    </row>
    <row r="56">
      <c r="B56" s="7" t="inlineStr">
        <is>
          <t>x_E (fraction molaire élémentaire)</t>
        </is>
      </c>
      <c r="C56" s="26">
        <f>C52/$F$52</f>
        <v>0.2211690379424878</v>
      </c>
      <c r="D56" s="26">
        <f>D52/$F$52</f>
        <v>0.5358602519787052</v>
      </c>
      <c r="E56" s="26">
        <f>E52/$F$52</f>
        <v>0.24297071007880694</v>
      </c>
      <c r="F56" s="24">
        <f>SUM(C56:E56)</f>
        <v>1.0</v>
      </c>
      <c r="G56" s="24">
        <f>C56*Constantes!$C$7+D56*Constantes!$C$8+E56*Constantes!$C$9</f>
        <v>7.0838968392725885</v>
      </c>
      <c r="H56" s="24">
        <f>D56/E56</f>
        <v>2.2054520555374775</v>
      </c>
    </row>
    <row r="57">
      <c r="B57" s="7" t="inlineStr">
        <is>
          <t>y_E (fraction massique élémentaire)</t>
        </is>
      </c>
      <c r="C57" s="24">
        <f>C56*Constantes!$C$7/$G$56</f>
        <v>0.37500000000000006</v>
      </c>
      <c r="D57" s="24">
        <f>D56*Constantes!$C$8/$G$56</f>
        <v>0.07625</v>
      </c>
      <c r="E57" s="24">
        <f>E56*Constantes!$C$9/$G$56</f>
        <v>0.54875</v>
      </c>
      <c r="F57" s="24">
        <f>SUM(C57:E57)</f>
        <v>1.0</v>
      </c>
      <c r="G57" s="15" t="inlineStr"/>
      <c r="H57" s="15" t="inlineStr"/>
    </row>
    <row r="58">
      <c r="B58" s="12" t="inlineStr">
        <is>
          <t>H/O = 2.2 : trois fois plus bas que les phénoliques (5.9-6.8) et deux fois plus bas que le liège (4.9). C'est le gaz le plus OXYGÉNÉ du dépôt — le bois est pour les deux tiers des polysaccharides, eux-mêmes à H/O = 2. Plus d'oxygène dans le gaz de pyrolyse, c'est plus d'oxydant disponible à la paroi pour le char.</t>
        </is>
      </c>
    </row>
    <row r="59">
      <c r="A59" s="20" t="inlineStr">
        <is>
          <t>&gt;</t>
        </is>
      </c>
      <c r="B59" s="20" t="inlineStr">
        <is>
          <t>Étape 5 — unité de répétition globale du bois (ramenée à 6 atomes de carbone)</t>
        </is>
      </c>
      <c r="I59" s="27" t="inlineStr">
        <is>
          <t>ν_E = 6 · (w_E/M_E) / (w_C/M_C)</t>
        </is>
      </c>
    </row>
    <row r="60">
      <c r="B60" s="6" t="inlineStr"/>
      <c r="C60" s="6" t="inlineStr">
        <is>
          <t>ν_C</t>
        </is>
      </c>
      <c r="D60" s="6" t="inlineStr">
        <is>
          <t>ν_H</t>
        </is>
      </c>
      <c r="E60" s="6" t="inlineStr">
        <is>
          <t>ν_O</t>
        </is>
      </c>
      <c r="F60" s="6" t="inlineStr">
        <is>
          <t>M [g/mol]</t>
        </is>
      </c>
      <c r="G60" s="6" t="inlineStr">
        <is>
          <t>H/C</t>
        </is>
      </c>
      <c r="H60" s="6" t="inlineStr">
        <is>
          <t>O/C</t>
        </is>
      </c>
    </row>
    <row r="61">
      <c r="B61" s="7" t="inlineStr">
        <is>
          <t>bois de chêne — C6HxOy</t>
        </is>
      </c>
      <c r="C61" s="73" t="n">
        <v>6</v>
      </c>
      <c r="D61" s="9">
        <f>6*(D44/Constantes!$C$8)/(C44/Constantes!$C$7)</f>
        <v>8.72227380952381</v>
      </c>
      <c r="E61" s="9">
        <f>6*(E44/Constantes!$C$9)/(C44/Constantes!$C$7)</f>
        <v>3.9548689293080814</v>
      </c>
      <c r="F61" s="49">
        <f>C61*Constantes!$C$7+D61*Constantes!$C$8+E61*Constantes!$C$9</f>
        <v>144.132</v>
      </c>
      <c r="G61" s="24">
        <f>D61/C61</f>
        <v>1.4537123015873015</v>
      </c>
      <c r="H61" s="24">
        <f>E61/C61</f>
        <v>0.6591448215513469</v>
      </c>
    </row>
    <row r="62">
      <c r="B62" s="12" t="inlineStr">
        <is>
          <t>Attendu C6H8.72O3.95 (M = 144.1 g/mol), soit CH1.45O0.66 : l'anhydroglucose C6H10O5 (cellulose) « enrichi en carbone » par la lignine. Cette unité n'entre pas dans le XML — c'est la même information que l'analyse élémentaire, écrite en motif.</t>
        </is>
      </c>
    </row>
    <row r="64" ht="18" customHeight="1">
      <c r="A64" s="4" t="inlineStr">
        <is>
          <t>§4 — RÉSULTAT : CE QUI ENTRE DANS LE XML</t>
        </is>
      </c>
    </row>
    <row r="65">
      <c r="B65" s="6" t="inlineStr">
        <is>
          <t>Composition élémentaire (fractions molaires)</t>
        </is>
      </c>
      <c r="C65" s="6" t="inlineStr">
        <is>
          <t>C</t>
        </is>
      </c>
      <c r="D65" s="6" t="inlineStr">
        <is>
          <t>H</t>
        </is>
      </c>
      <c r="E65" s="6" t="inlineStr">
        <is>
          <t>O</t>
        </is>
      </c>
      <c r="F65" s="6" t="inlineStr">
        <is>
          <t>Somme</t>
        </is>
      </c>
    </row>
    <row r="66">
      <c r="B66" s="7" t="inlineStr">
        <is>
          <t>calcul — chaîne complète ci-dessus</t>
        </is>
      </c>
      <c r="C66" s="26">
        <f>C56</f>
        <v>0.2211690379424878</v>
      </c>
      <c r="D66" s="26">
        <f>D56</f>
        <v>0.5358602519787052</v>
      </c>
      <c r="E66" s="26">
        <f>E56</f>
        <v>0.24297071007880694</v>
      </c>
      <c r="F66" s="24">
        <f>SUM(C66:E66)</f>
        <v>1.0</v>
      </c>
    </row>
    <row r="67">
      <c r="B67" s="7" t="inlineStr">
        <is>
          <t>valeur portée dans le XML (oak_pyro)</t>
        </is>
      </c>
      <c r="C67" s="42" t="n">
        <v>0.221</v>
      </c>
      <c r="D67" s="42" t="n">
        <v>0.536</v>
      </c>
      <c r="E67" s="42" t="n">
        <v>0.243</v>
      </c>
      <c r="F67" s="24">
        <f>SUM(C67:E67)</f>
        <v>1.0</v>
      </c>
    </row>
    <row r="68">
      <c r="B68" s="7" t="inlineStr">
        <is>
          <t>écart relatif |calcul − XML| / XML</t>
        </is>
      </c>
      <c r="C68" s="43">
        <f>ABS(C66-C67)/C67</f>
        <v>0.000764877567818068</v>
      </c>
      <c r="D68" s="43">
        <f>ABS(D66-D67)/D67</f>
        <v>0.00026072392032610886</v>
      </c>
      <c r="E68" s="43">
        <f>ABS(E66-E67)/E67</f>
        <v>0.00012053465511544931</v>
      </c>
      <c r="F68" s="15" t="inlineStr"/>
    </row>
    <row r="69">
      <c r="B69" s="6" t="inlineStr">
        <is>
          <t>Char (oak_char)</t>
        </is>
      </c>
      <c r="C69" s="6" t="inlineStr">
        <is>
          <t>C</t>
        </is>
      </c>
      <c r="D69" s="6" t="inlineStr">
        <is>
          <t>H</t>
        </is>
      </c>
      <c r="E69" s="6" t="inlineStr">
        <is>
          <t>O</t>
        </is>
      </c>
      <c r="F69" s="6" t="inlineStr"/>
      <c r="G69" s="6" t="inlineStr"/>
      <c r="H69" s="6" t="inlineStr"/>
    </row>
    <row r="70">
      <c r="B70" s="7" t="inlineStr">
        <is>
          <t>composition du XML</t>
        </is>
      </c>
      <c r="C70" s="44" t="n">
        <v>1</v>
      </c>
      <c r="D70" s="11" t="inlineStr">
        <is>
          <t>—</t>
        </is>
      </c>
      <c r="E70" s="11" t="inlineStr">
        <is>
          <t>—</t>
        </is>
      </c>
      <c r="F70" s="15" t="inlineStr"/>
      <c r="G70" s="15" t="inlineStr"/>
      <c r="H70" s="15" t="inlineStr"/>
    </row>
    <row r="72" ht="18" customHeight="1">
      <c r="A72" s="4" t="inlineStr">
        <is>
          <t>§5 — CONTRÔLES ET VALIDATION CROISÉE</t>
        </is>
      </c>
    </row>
    <row r="73">
      <c r="A73" s="20" t="inlineStr">
        <is>
          <t>&gt;</t>
        </is>
      </c>
      <c r="B73" s="20" t="inlineStr">
        <is>
          <t>Contrôle A — reconstruire le chêne depuis ses unités de répétition (traçable ligne à ligne)</t>
        </is>
      </c>
      <c r="I73" s="27" t="inlineStr">
        <is>
          <t>w_E = Σ_i (part_i / Σ parts) · (ν_E,i·M_E / M_i)</t>
        </is>
      </c>
    </row>
    <row r="74">
      <c r="B74" s="6" t="inlineStr"/>
      <c r="C74" s="6" t="inlineStr">
        <is>
          <t>C</t>
        </is>
      </c>
      <c r="D74" s="6" t="inlineStr">
        <is>
          <t>H</t>
        </is>
      </c>
      <c r="E74" s="6" t="inlineStr">
        <is>
          <t>O</t>
        </is>
      </c>
      <c r="F74" s="6" t="inlineStr">
        <is>
          <t>Somme</t>
        </is>
      </c>
      <c r="G74" s="6" t="inlineStr">
        <is>
          <t>écart / littérature [points]</t>
        </is>
      </c>
      <c r="H74" s="6" t="inlineStr"/>
    </row>
    <row r="75">
      <c r="B75" s="7" t="inlineStr">
        <is>
          <t>chêne reconstruit [% masse]</t>
        </is>
      </c>
      <c r="C75" s="9">
        <f>SUMPRODUCT($C$29:$C$33,D29:D33/$G$29:$G$33)*Constantes!$C$7/$C$34*100</f>
        <v>50.38950994879695</v>
      </c>
      <c r="D75" s="9">
        <f>SUMPRODUCT($C$29:$C$33,E29:E33/$G$29:$G$33)*Constantes!$C$8/$C$34*100</f>
        <v>6.039320485528451</v>
      </c>
      <c r="E75" s="9">
        <f>SUMPRODUCT($C$29:$C$33,F29:F33/$G$29:$G$33)*Constantes!$C$9/$C$34*100</f>
        <v>43.571169565674595</v>
      </c>
      <c r="F75" s="9">
        <f>SUM(C75:E75)</f>
        <v>100.0</v>
      </c>
      <c r="G75" s="9">
        <f>MAX(ABS(C75-C44),ABS(D75-D44),ABS(E75-E44))</f>
        <v>0.3895099487969489</v>
      </c>
      <c r="H75" s="15" t="inlineStr"/>
    </row>
    <row r="76">
      <c r="B76" s="7" t="inlineStr">
        <is>
          <t>⇒ gaz de pyrolyse avec le chêne reconstruit (x_E)</t>
        </is>
      </c>
      <c r="C76" s="24">
        <f>(100*C75/$F$75/Constantes!$C$7-$E$47/Constantes!$C$7)/(100*C75/$F$75/Constantes!$C$7-$E$47/Constantes!$C$7+100*D75/$F$75/Constantes!$C$8+100*E75/$F$75/Constantes!$C$9)</f>
        <v>0.2250033721577044</v>
      </c>
      <c r="D76" s="24">
        <f>(100*D75/$F$75/Constantes!$C$8)/(100*C75/$F$75/Constantes!$C$7-$E$47/Constantes!$C$7+100*D75/$F$75/Constantes!$C$8+100*E75/$F$75/Constantes!$C$9)</f>
        <v>0.5328096006041946</v>
      </c>
      <c r="E76" s="24">
        <f>(100*E75/$F$75/Constantes!$C$9)/(100*C75/$F$75/Constantes!$C$7-$E$47/Constantes!$C$7+100*D75/$F$75/Constantes!$C$8+100*E75/$F$75/Constantes!$C$9)</f>
        <v>0.24218702723810098</v>
      </c>
      <c r="F76" s="24">
        <f>SUM(C76:E76)</f>
        <v>1.0</v>
      </c>
      <c r="G76" s="15" t="inlineStr"/>
      <c r="H76" s="15" t="inlineStr"/>
    </row>
    <row r="77">
      <c r="B77" s="12" t="inlineStr">
        <is>
          <t>Attendu C 50.39 / H 6.04 / O 43.57, soit un gaz C:0.225 / H:0.533 / O:0.242. La reconstruction retombe sur l'analyse de littérature à 0.4 point près — bien mieux que pour le liège (4 points sur C) : l'unité dominante, l'anhydroglucose, est exacte, et il n'y a pas de subérine dont l'unité serait incertaine. L'écart sur le gaz (0.004 sur x_C) est négligeable.</t>
        </is>
      </c>
    </row>
    <row r="78">
      <c r="A78" s="20" t="inlineStr">
        <is>
          <t>&gt;</t>
        </is>
      </c>
      <c r="B78" s="20" t="inlineStr">
        <is>
          <t>Contrôle B — rendement en char par additivité des constituants</t>
        </is>
      </c>
      <c r="I78" s="27" t="inlineStr">
        <is>
          <t>y = Σ_i part_i · y_i / Σ parts</t>
        </is>
      </c>
    </row>
    <row r="79">
      <c r="B79" s="35" t="inlineStr">
        <is>
          <t>y_chêne par additivité</t>
        </is>
      </c>
      <c r="C79" s="70">
        <f>SUMPRODUCT($C$29:$C$33,$H$29:$H$33)/$C$34</f>
        <v>0.21989795918367344</v>
      </c>
      <c r="I79" s="12" t="inlineStr">
        <is>
          <t>attendu 22.0 % — contre 20 % retenus : les deux voies sont COHÉRENTES</t>
        </is>
      </c>
    </row>
    <row r="80">
      <c r="B80" s="12" t="inlineStr">
        <is>
          <t>La cellulose, qui pèse 43 %, se dépolymérise en lévoglucosane et laisse peu de char ; la lignine et les tanins, aromatiques, en laissent le plus. Le rendement réel dépend fortement de la vitesse de chauffe : 20 % correspond à une pyrolyse lente, une pyrolyse flash descend vers 10-15 %.</t>
        </is>
      </c>
    </row>
    <row r="81">
      <c r="A81" s="20" t="inlineStr">
        <is>
          <t>&gt;</t>
        </is>
      </c>
      <c r="B81" s="20" t="inlineStr">
        <is>
          <t>Contrôle C — variante : char retenant H et O (char multi-élément)</t>
        </is>
      </c>
      <c r="I81" s="27" t="inlineStr">
        <is>
          <t>n_E(char) = m_char · w_E,char / M_E ;  n_E(gaz) = n_E(bois) − n_E(char)</t>
        </is>
      </c>
    </row>
    <row r="82">
      <c r="B82" s="6" t="inlineStr">
        <is>
          <t>char supposé [% masse]</t>
        </is>
      </c>
      <c r="C82" s="6" t="inlineStr">
        <is>
          <t>C</t>
        </is>
      </c>
      <c r="D82" s="6" t="inlineStr">
        <is>
          <t>H</t>
        </is>
      </c>
      <c r="E82" s="6" t="inlineStr">
        <is>
          <t>O</t>
        </is>
      </c>
      <c r="F82" s="6" t="inlineStr">
        <is>
          <t>Somme</t>
        </is>
      </c>
      <c r="G82" s="6" t="inlineStr"/>
      <c r="H82" s="6" t="inlineStr"/>
    </row>
    <row r="83">
      <c r="B83" s="7" t="inlineStr">
        <is>
          <t>hypothèse de travail</t>
        </is>
      </c>
      <c r="C83" s="36" t="n">
        <v>90</v>
      </c>
      <c r="D83" s="36" t="n">
        <v>2</v>
      </c>
      <c r="E83" s="36" t="n">
        <v>8</v>
      </c>
      <c r="F83" s="9">
        <f>SUM(C83:E83)</f>
        <v>100.0</v>
      </c>
      <c r="G83" s="15" t="inlineStr"/>
      <c r="H83" s="15" t="inlineStr"/>
    </row>
    <row r="84">
      <c r="B84" s="7" t="inlineStr">
        <is>
          <t>moles d'atomes du char</t>
        </is>
      </c>
      <c r="C84" s="26">
        <f>$E$47*C83/100/Constantes!$C$7</f>
        <v>1.498626259262343</v>
      </c>
      <c r="D84" s="26">
        <f>$E$47*D83/100/Constantes!$C$8</f>
        <v>0.39682539682539686</v>
      </c>
      <c r="E84" s="26">
        <f>$E$47*E83/100/Constantes!$C$9</f>
        <v>0.10000625039064942</v>
      </c>
      <c r="F84" s="26">
        <f>SUM(C84:E84)</f>
        <v>1.995457906478389</v>
      </c>
      <c r="G84" s="15" t="inlineStr"/>
      <c r="H84" s="15" t="inlineStr"/>
    </row>
    <row r="85">
      <c r="B85" s="7" t="inlineStr">
        <is>
          <t>⇒ oak_char multi-élément (x_E)</t>
        </is>
      </c>
      <c r="C85" s="24">
        <f>C84/$F$84</f>
        <v>0.7510187282813391</v>
      </c>
      <c r="D85" s="24">
        <f>D84/$F$84</f>
        <v>0.19886432860200978</v>
      </c>
      <c r="E85" s="24">
        <f>E84/$F$84</f>
        <v>0.050116943116651255</v>
      </c>
      <c r="F85" s="24">
        <f>SUM(C85:E85)</f>
        <v>1.0</v>
      </c>
      <c r="G85" s="15" t="inlineStr"/>
      <c r="H85" s="15" t="inlineStr"/>
    </row>
    <row r="86">
      <c r="B86" s="7" t="inlineStr">
        <is>
          <t>⇒ gaz cohérent (x_E)</t>
        </is>
      </c>
      <c r="C86" s="24">
        <f>(C50-C84)/($F$50-$F$84)</f>
        <v>0.2430218345104322</v>
      </c>
      <c r="D86" s="24">
        <f>(D50-D84)/($F$50-$F$84)</f>
        <v>0.5158088712034152</v>
      </c>
      <c r="E86" s="24">
        <f>(E50-E84)/($F$50-$F$84)</f>
        <v>0.24116929428615272</v>
      </c>
      <c r="F86" s="24">
        <f>SUM(C86:E86)</f>
        <v>1.0000000000000002</v>
      </c>
      <c r="G86" s="15" t="inlineStr"/>
      <c r="H86" s="15" t="inlineStr"/>
    </row>
    <row r="87">
      <c r="B87" s="12" t="inlineStr">
        <is>
          <t>Attendu char C:0.751, H:0.199, O:0.050 et gaz C:0.243, H:0.516, O:0.241. `-char-elem C` reste valable. Un char qui retient H et O laisse PLUS de carbone au gaz (x_C +0.022) : c'est automatique dans la fermeture élémentaire, pas si l'on recopie deux compositions de sources différentes.</t>
        </is>
      </c>
    </row>
    <row r="89" ht="18" customHeight="1">
      <c r="A89" s="4" t="inlineStr">
        <is>
          <t>§6 — SENSIBILITÉ</t>
        </is>
      </c>
    </row>
    <row r="90">
      <c r="A90" s="20" t="inlineStr">
        <is>
          <t>&gt;</t>
        </is>
      </c>
      <c r="B90" s="20" t="inlineStr">
        <is>
          <t>Au rendement en char — LE paramètre du calcul</t>
        </is>
      </c>
    </row>
    <row r="91">
      <c r="B91" s="6" t="inlineStr">
        <is>
          <t>y testé</t>
        </is>
      </c>
      <c r="C91" s="6" t="inlineStr">
        <is>
          <t>C</t>
        </is>
      </c>
      <c r="D91" s="6" t="inlineStr">
        <is>
          <t>H</t>
        </is>
      </c>
      <c r="E91" s="6" t="inlineStr">
        <is>
          <t>O</t>
        </is>
      </c>
      <c r="F91" s="6" t="inlineStr"/>
      <c r="G91" s="6" t="inlineStr">
        <is>
          <t>k = (1−y)/y</t>
        </is>
      </c>
      <c r="H91" s="6" t="inlineStr"/>
    </row>
    <row r="92">
      <c r="B92" s="28" t="n">
        <v>0.1</v>
      </c>
      <c r="C92" s="24">
        <f>($C$50-100*B92/Constantes!$C$7)/(($C$50-100*B92/Constantes!$C$7)+$D$50+$E$50)</f>
        <v>0.2746444354050527</v>
      </c>
      <c r="D92" s="24">
        <f>$D$50/(($C$50-100*B92/Constantes!$C$7)+$D$50+$E$50)</f>
        <v>0.4990674928885301</v>
      </c>
      <c r="E92" s="24">
        <f>$E$50/(($C$50-100*B92/Constantes!$C$7)+$D$50+$E$50)</f>
        <v>0.2262880717064173</v>
      </c>
      <c r="F92" s="15" t="inlineStr"/>
      <c r="G92" s="24">
        <f>(1-B92)/B92</f>
        <v>9.0</v>
      </c>
      <c r="H92" s="15" t="inlineStr"/>
    </row>
    <row r="93">
      <c r="B93" s="28" t="n">
        <v>0.15</v>
      </c>
      <c r="C93" s="24">
        <f>($C$50-100*B93/Constantes!$C$7)/(($C$50-100*B93/Constantes!$C$7)+$D$50+$E$50)</f>
        <v>0.24885728970795523</v>
      </c>
      <c r="D93" s="24">
        <f>$D$50/(($C$50-100*B93/Constantes!$C$7)+$D$50+$E$50)</f>
        <v>0.516809861983042</v>
      </c>
      <c r="E93" s="24">
        <f>$E$50/(($C$50-100*B93/Constantes!$C$7)+$D$50+$E$50)</f>
        <v>0.23433284830900278</v>
      </c>
      <c r="F93" s="15" t="inlineStr"/>
      <c r="G93" s="24">
        <f>(1-B93)/B93</f>
        <v>5.666666666666667</v>
      </c>
      <c r="H93" s="15" t="inlineStr"/>
    </row>
    <row r="94">
      <c r="B94" s="28" t="n">
        <v>0.2</v>
      </c>
      <c r="C94" s="24">
        <f>($C$50-100*B94/Constantes!$C$7)/(($C$50-100*B94/Constantes!$C$7)+$D$50+$E$50)</f>
        <v>0.2211690379424878</v>
      </c>
      <c r="D94" s="24">
        <f>$D$50/(($C$50-100*B94/Constantes!$C$7)+$D$50+$E$50)</f>
        <v>0.5358602519787052</v>
      </c>
      <c r="E94" s="24">
        <f>$E$50/(($C$50-100*B94/Constantes!$C$7)+$D$50+$E$50)</f>
        <v>0.24297071007880694</v>
      </c>
      <c r="F94" s="15" t="inlineStr"/>
      <c r="G94" s="24">
        <f>(1-B94)/B94</f>
        <v>4.0</v>
      </c>
      <c r="H94" s="15" t="inlineStr"/>
    </row>
    <row r="95">
      <c r="B95" s="28" t="n">
        <v>0.25</v>
      </c>
      <c r="C95" s="24">
        <f>($C$50-100*B95/Constantes!$C$7)/(($C$50-100*B95/Constantes!$C$7)+$D$50+$E$50)</f>
        <v>0.19136140111610234</v>
      </c>
      <c r="D95" s="24">
        <f>$D$50/(($C$50-100*B95/Constantes!$C$7)+$D$50+$E$50)</f>
        <v>0.5563688457029199</v>
      </c>
      <c r="E95" s="24">
        <f>$E$50/(($C$50-100*B95/Constantes!$C$7)+$D$50+$E$50)</f>
        <v>0.25226975318097794</v>
      </c>
      <c r="F95" s="15" t="inlineStr"/>
      <c r="G95" s="24">
        <f>(1-B95)/B95</f>
        <v>3.0</v>
      </c>
      <c r="H95" s="15" t="inlineStr"/>
    </row>
    <row r="96">
      <c r="B96" s="28" t="n">
        <v>0.3</v>
      </c>
      <c r="C96" s="24">
        <f>($C$50-100*B96/Constantes!$C$7)/(($C$50-100*B96/Constantes!$C$7)+$D$50+$E$50)</f>
        <v>0.15918135429060362</v>
      </c>
      <c r="D96" s="24">
        <f>$D$50/(($C$50-100*B96/Constantes!$C$7)+$D$50+$E$50)</f>
        <v>0.5785097322889425</v>
      </c>
      <c r="E96" s="24">
        <f>$E$50/(($C$50-100*B96/Constantes!$C$7)+$D$50+$E$50)</f>
        <v>0.26230891342045404</v>
      </c>
      <c r="F96" s="15" t="inlineStr"/>
      <c r="G96" s="24">
        <f>(1-B96)/B96</f>
        <v>2.3333333333333335</v>
      </c>
      <c r="H96" s="15" t="inlineStr"/>
    </row>
    <row r="97">
      <c r="B97" s="12" t="inlineStr">
        <is>
          <t>±5 points de rendement déplacent le carbone du gaz de ∓0.03 et k de 3.0 à 5.7. Comme pour le liège, le rendement pèse bien plus sur la QUANTITÉ de gaz (k) que sur sa composition.</t>
        </is>
      </c>
    </row>
    <row r="98">
      <c r="A98" s="20" t="inlineStr">
        <is>
          <t>&gt;</t>
        </is>
      </c>
      <c r="B98" s="20" t="inlineStr">
        <is>
          <t>À l'humidité du bois — l'eau part entièrement dans le gaz</t>
        </is>
      </c>
      <c r="I98" s="27" t="inlineStr">
        <is>
          <t>m_eau = 100·h/(1−h) ;  n_H += 2·n_eau ;  n_O += n_eau</t>
        </is>
      </c>
    </row>
    <row r="99">
      <c r="B99" s="6" t="inlineStr">
        <is>
          <t>humidité h (base humide)</t>
        </is>
      </c>
      <c r="C99" s="6" t="inlineStr">
        <is>
          <t>C</t>
        </is>
      </c>
      <c r="D99" s="6" t="inlineStr">
        <is>
          <t>H</t>
        </is>
      </c>
      <c r="E99" s="6" t="inlineStr">
        <is>
          <t>O</t>
        </is>
      </c>
      <c r="F99" s="6" t="inlineStr">
        <is>
          <t>char / bois humide</t>
        </is>
      </c>
      <c r="G99" s="6" t="inlineStr">
        <is>
          <t>k = m_gaz/m_char</t>
        </is>
      </c>
      <c r="H99" s="6" t="inlineStr"/>
    </row>
    <row r="100">
      <c r="B100" s="28" t="n">
        <v>0</v>
      </c>
      <c r="C100" s="24">
        <f>$C$52/($C$52+($D$52+2*(100*B100/(1-B100)/(2*Constantes!$C$8+Constantes!$C$9)))+($E$52+(100*B100/(1-B100)/(2*Constantes!$C$8+Constantes!$C$9))))</f>
        <v>0.2211690379424878</v>
      </c>
      <c r="D100" s="24">
        <f>($D$52+2*(100*B100/(1-B100)/(2*Constantes!$C$8+Constantes!$C$9)))/($C$52+($D$52+2*(100*B100/(1-B100)/(2*Constantes!$C$8+Constantes!$C$9)))+($E$52+(100*B100/(1-B100)/(2*Constantes!$C$8+Constantes!$C$9))))</f>
        <v>0.5358602519787052</v>
      </c>
      <c r="E100" s="24">
        <f>($E$52+(100*B100/(1-B100)/(2*Constantes!$C$8+Constantes!$C$9)))/($C$52+($D$52+2*(100*B100/(1-B100)/(2*Constantes!$C$8+Constantes!$C$9)))+($E$52+(100*B100/(1-B100)/(2*Constantes!$C$8+Constantes!$C$9))))</f>
        <v>0.24297071007880694</v>
      </c>
      <c r="F100" s="24">
        <f>$E$47/(100+100*B100/(1-B100))</f>
        <v>0.2</v>
      </c>
      <c r="G100" s="24">
        <f>($F$47+100*B100/(1-B100))/$E$47</f>
        <v>4.0</v>
      </c>
      <c r="H100" s="15" t="inlineStr"/>
    </row>
    <row r="101">
      <c r="B101" s="28" t="n">
        <v>0.08</v>
      </c>
      <c r="C101" s="24">
        <f>$C$52/($C$52+($D$52+2*(100*B101/(1-B101)/(2*Constantes!$C$8+Constantes!$C$9)))+($E$52+(100*B101/(1-B101)/(2*Constantes!$C$8+Constantes!$C$9))))</f>
        <v>0.19603280752539232</v>
      </c>
      <c r="D101" s="24">
        <f>($D$52+2*(100*B101/(1-B101)/(2*Constantes!$C$8+Constantes!$C$9)))/($C$52+($D$52+2*(100*B101/(1-B101)/(2*Constantes!$C$8+Constantes!$C$9)))+($E$52+(100*B101/(1-B101)/(2*Constantes!$C$8+Constantes!$C$9))))</f>
        <v>0.5507266193971219</v>
      </c>
      <c r="E101" s="24">
        <f>($E$52+(100*B101/(1-B101)/(2*Constantes!$C$8+Constantes!$C$9)))/($C$52+($D$52+2*(100*B101/(1-B101)/(2*Constantes!$C$8+Constantes!$C$9)))+($E$52+(100*B101/(1-B101)/(2*Constantes!$C$8+Constantes!$C$9))))</f>
        <v>0.2532405730774859</v>
      </c>
      <c r="F101" s="24">
        <f>$E$47/(100+100*B101/(1-B101))</f>
        <v>0.184</v>
      </c>
      <c r="G101" s="24">
        <f>($F$47+100*B101/(1-B101))/$E$47</f>
        <v>4.434782608695652</v>
      </c>
      <c r="H101" s="15" t="inlineStr"/>
    </row>
    <row r="102">
      <c r="B102" s="28" t="n">
        <v>0.12</v>
      </c>
      <c r="C102" s="24">
        <f>$C$52/($C$52+($D$52+2*(100*B102/(1-B102)/(2*Constantes!$C$8+Constantes!$C$9)))+($E$52+(100*B102/(1-B102)/(2*Constantes!$C$8+Constantes!$C$9))))</f>
        <v>0.18414188018509986</v>
      </c>
      <c r="D102" s="24">
        <f>($D$52+2*(100*B102/(1-B102)/(2*Constantes!$C$8+Constantes!$C$9)))/($C$52+($D$52+2*(100*B102/(1-B102)/(2*Constantes!$C$8+Constantes!$C$9)))+($E$52+(100*B102/(1-B102)/(2*Constantes!$C$8+Constantes!$C$9))))</f>
        <v>0.5577592926282782</v>
      </c>
      <c r="E102" s="24">
        <f>($E$52+(100*B102/(1-B102)/(2*Constantes!$C$8+Constantes!$C$9)))/($C$52+($D$52+2*(100*B102/(1-B102)/(2*Constantes!$C$8+Constantes!$C$9)))+($E$52+(100*B102/(1-B102)/(2*Constantes!$C$8+Constantes!$C$9))))</f>
        <v>0.2580988271866221</v>
      </c>
      <c r="F102" s="24">
        <f>$E$47/(100+100*B102/(1-B102))</f>
        <v>0.176</v>
      </c>
      <c r="G102" s="24">
        <f>($F$47+100*B102/(1-B102))/$E$47</f>
        <v>4.681818181818182</v>
      </c>
      <c r="H102" s="15" t="inlineStr"/>
    </row>
    <row r="103">
      <c r="B103" s="12" t="inlineStr">
        <is>
          <t>Un bois stabilisé à l'air (12 %) donne un gaz C:0.184 et k = 4.68 : l'effet sur la composition dépasse celui de ±5 points de rendement. Préciser « sec » ou « à X % d'humidité » dans l'énoncé.</t>
        </is>
      </c>
    </row>
    <row r="105" ht="18" customHeight="1">
      <c r="A105" s="4" t="inlineStr">
        <is>
          <t>§7 — RÉPONSE MATÉRIAU (n'entre PAS dans le XML)</t>
        </is>
      </c>
    </row>
    <row r="106">
      <c r="B106" s="35" t="inlineStr">
        <is>
          <t>k = B'g/B'c = m_gaz / m_char = (1 − y)/y</t>
        </is>
      </c>
      <c r="C106" s="46">
        <f>F47/E47</f>
        <v>4.0</v>
      </c>
      <c r="I106" s="12" t="inlineStr">
        <is>
          <t>attendu 4.0 — le même que le liège/phénolique, QUINZE FOIS le TACOT (0.273)</t>
        </is>
      </c>
    </row>
    <row r="107">
      <c r="B107" s="35" t="inlineStr">
        <is>
          <t>ρ char [kg/m³] = y · ρ_v / (V_char/V_v)</t>
        </is>
      </c>
      <c r="C107" s="45">
        <f>$C$37*C38/C39</f>
        <v>254.54545454545453</v>
      </c>
      <c r="I107" s="12" t="inlineStr">
        <is>
          <t>≈ 255 kg/m³ avec le retrait supposé — à MESURER</t>
        </is>
      </c>
    </row>
    <row r="108">
      <c r="B108" s="35" t="inlineStr">
        <is>
          <t>k si l'on prenait les densités : (ρ_v − ρ_c)/ρ_c</t>
        </is>
      </c>
      <c r="C108" s="46">
        <f>(C38-C107)/C107</f>
        <v>1.7500000000000002</v>
      </c>
      <c r="I108" s="12" t="inlineStr">
        <is>
          <t>1.75 — plus de deux fois trop peu : l'identité suppose un volume constant</t>
        </is>
      </c>
    </row>
    <row r="109">
      <c r="B109" s="12" t="inlineStr">
        <is>
          <t>Conséquences pratiques : (1) balayer B'g jusqu'à ~10 (les tables oak_bprime vont à B'g = 5 et le balayage du point de fonctionnement à 10) ; (2) la récession se lit sur la ρ_char MESURÉE, pas sur 0.20·ρ_v = 140 kg/m³ ; (3) le gaz porte plus d'oxygène que de carbone (O/C = 1.10) : au-dessus de ~1500 K il OXYDE le char, et B'c CROÎT avec B'g (1 atm, 3000 K : 0.177 à B'g = 0, 0.79 à B'g = 5) — l'inverse du liège, dont le soufflage protège le char. Point de fonctionnement à 1 atm : B'c = 0.127 / 0.213 / 0.430 à 1000 / 2000 / 3000 K (oak_bprime).</t>
        </is>
      </c>
    </row>
    <row r="111" ht="18" customHeight="1">
      <c r="A111" s="4" t="inlineStr">
        <is>
          <t>§8 — BLOC XML</t>
        </is>
      </c>
    </row>
    <row r="112">
      <c r="B112" s="29" t="inlineStr">
        <is>
          <t>&lt;mixture thermo_db="NASA-9"&gt;</t>
        </is>
      </c>
    </row>
    <row r="113">
      <c r="B113" s="29" t="inlineStr">
        <is>
          <t xml:space="preserve">    &lt;species&gt;</t>
        </is>
      </c>
    </row>
    <row r="114">
      <c r="B114" s="29" t="inlineStr">
        <is>
          <t xml:space="preserve">       C H O N CH4 CN CO CO2 C2 C2H C2H2,acetylene C3 C4 C4H2,butadiyne C5</t>
        </is>
      </c>
    </row>
    <row r="115">
      <c r="B115" s="29" t="inlineStr">
        <is>
          <t xml:space="preserve">       HCN H2 H2O N2 CH2OH CNN CNC CNCOCN C6H6 HNC C(gr)</t>
        </is>
      </c>
    </row>
    <row r="116">
      <c r="B116" s="29" t="inlineStr">
        <is>
          <t xml:space="preserve">    &lt;/species&gt;</t>
        </is>
      </c>
    </row>
    <row r="117">
      <c r="B117" s="29" t="inlineStr">
        <is>
          <t xml:space="preserve">    &lt;element_compositions default="air"&gt;</t>
        </is>
      </c>
    </row>
    <row r="118">
      <c r="B118" s="29" t="inlineStr">
        <is>
          <t xml:space="preserve">        &lt;composition name="air"&gt;N:0.79, O:0.21&lt;/composition&gt;</t>
        </is>
      </c>
    </row>
    <row r="119">
      <c r="B119" s="29" t="inlineStr">
        <is>
          <t xml:space="preserve">        &lt;composition name="oak_pyro"&gt;C:0.221, H:0.536, O:0.243&lt;/composition&gt;</t>
        </is>
      </c>
    </row>
    <row r="120">
      <c r="B120" s="29" t="inlineStr">
        <is>
          <t xml:space="preserve">        &lt;composition name="oak_char"&gt;C:1.0&lt;/composition&gt;</t>
        </is>
      </c>
    </row>
    <row r="121">
      <c r="B121" s="29" t="inlineStr">
        <is>
          <t xml:space="preserve">    &lt;/element_compositions&gt;</t>
        </is>
      </c>
    </row>
    <row r="122">
      <c r="B122" s="29" t="inlineStr">
        <is>
          <t>&lt;/mixture&gt;</t>
        </is>
      </c>
    </row>
  </sheetData>
  <mergeCells count="52">
    <mergeCell ref="B97:I97"/>
    <mergeCell ref="A41:I41"/>
    <mergeCell ref="B62:I62"/>
    <mergeCell ref="B25:I25"/>
    <mergeCell ref="B109:I109"/>
    <mergeCell ref="A89:I89"/>
    <mergeCell ref="B121:I121"/>
    <mergeCell ref="B115:I115"/>
    <mergeCell ref="A3:I3"/>
    <mergeCell ref="B15:H15"/>
    <mergeCell ref="A105:I105"/>
    <mergeCell ref="B122:I122"/>
    <mergeCell ref="A21:I21"/>
    <mergeCell ref="B45:H45"/>
    <mergeCell ref="B58:I58"/>
    <mergeCell ref="A2:I2"/>
    <mergeCell ref="B77:I77"/>
    <mergeCell ref="A5:I5"/>
    <mergeCell ref="B117:I117"/>
    <mergeCell ref="B120:I120"/>
    <mergeCell ref="B16:H16"/>
    <mergeCell ref="B54:H54"/>
    <mergeCell ref="B90:H90"/>
    <mergeCell ref="B59:H59"/>
    <mergeCell ref="B81:H81"/>
    <mergeCell ref="A72:I72"/>
    <mergeCell ref="B119:I119"/>
    <mergeCell ref="B22:H22"/>
    <mergeCell ref="B53:I53"/>
    <mergeCell ref="B116:I116"/>
    <mergeCell ref="B18:H18"/>
    <mergeCell ref="B27:H27"/>
    <mergeCell ref="B87:I87"/>
    <mergeCell ref="A13:I13"/>
    <mergeCell ref="B103:I103"/>
    <mergeCell ref="A111:I111"/>
    <mergeCell ref="B112:I112"/>
    <mergeCell ref="B48:H48"/>
    <mergeCell ref="B42:H42"/>
    <mergeCell ref="B118:I118"/>
    <mergeCell ref="B98:H98"/>
    <mergeCell ref="A64:I64"/>
    <mergeCell ref="B14:H14"/>
    <mergeCell ref="B17:H17"/>
    <mergeCell ref="B73:H73"/>
    <mergeCell ref="A1:I1"/>
    <mergeCell ref="B80:I80"/>
    <mergeCell ref="B78:H78"/>
    <mergeCell ref="B114:I114"/>
    <mergeCell ref="B19:H19"/>
    <mergeCell ref="B35:I35"/>
    <mergeCell ref="B113:I113"/>
  </mergeCells>
  <pageMargins left="0.75" right="0.75" top="1" bottom="1" header="0.5" footer="0.5"/>
</worksheet>
</file>

<file path=xl/worksheets/sheet10.xml><?xml version="1.0" encoding="utf-8"?>
<worksheet xmlns="http://schemas.openxmlformats.org/spreadsheetml/2006/main">
  <sheetPr>
    <tabColor rgb="00404040"/>
    <outlinePr summaryBelow="1" summaryRight="1"/>
    <pageSetUpPr/>
  </sheetPr>
  <dimension ref="A1:I67"/>
  <sheetViews>
    <sheetView showGridLines="0" workbookViewId="0">
      <pane ySplit="4" topLeftCell="A5" activePane="bottomLeft" state="frozen"/>
      <selection pane="bottomLeft" activeCell="A1" sqref="A1"/>
    </sheetView>
  </sheetViews>
  <sheetFormatPr baseColWidth="8" defaultRowHeight="15"/>
  <cols>
    <col width="4.5" customWidth="1" min="1" max="1"/>
    <col width="34" customWidth="1" min="2" max="2"/>
    <col width="13" customWidth="1" min="3" max="3"/>
    <col width="13" customWidth="1" min="4" max="4"/>
    <col width="13" customWidth="1" min="5" max="5"/>
    <col width="13" customWidth="1" min="6" max="6"/>
    <col width="13" customWidth="1" min="7" max="7"/>
    <col width="13" customWidth="1" min="8" max="8"/>
    <col width="72" customWidth="1" min="9" max="9"/>
  </cols>
  <sheetData>
    <row r="1" ht="26" customHeight="1">
      <c r="A1" s="1" t="inlineStr">
        <is>
          <t>Carbone graphite — ablateur non pyrolysant</t>
        </is>
      </c>
    </row>
    <row r="2" ht="16" customHeight="1">
      <c r="A2" s="2" t="inlineStr">
        <is>
          <t>Cas dégénéré : le solide EST le char, il n'y a pas de gaz de pyrolyse · sert de cas de référence physique aux autres onglets</t>
        </is>
      </c>
    </row>
    <row r="3">
      <c r="A3" s="3" t="inlineStr">
        <is>
          <t>Fichier(s) XML : data/mixtures/carbon-air.xml</t>
        </is>
      </c>
    </row>
    <row r="5" ht="18" customHeight="1">
      <c r="A5" s="4" t="inlineStr">
        <is>
          <t>§0 — FICHE D'IDENTITÉ</t>
        </is>
      </c>
    </row>
    <row r="6">
      <c r="B6" s="35" t="inlineStr">
        <is>
          <t>Matériau</t>
        </is>
      </c>
      <c r="C6" s="30" t="inlineStr">
        <is>
          <t>graphite pur (carbone massif)</t>
        </is>
      </c>
      <c r="I6" s="12" t="inlineStr">
        <is>
          <t>carbon_bprime/bprime_carbon_physique.md</t>
        </is>
      </c>
    </row>
    <row r="7">
      <c r="B7" s="35" t="inlineStr">
        <is>
          <t>Renfort / résine</t>
        </is>
      </c>
      <c r="C7" s="30" t="inlineStr">
        <is>
          <t>sans objet — matériau monolithique</t>
        </is>
      </c>
      <c r="I7" s="12" t="inlineStr">
        <is>
          <t>aucune pyrolyse interne</t>
        </is>
      </c>
    </row>
    <row r="8">
      <c r="B8" s="35" t="inlineStr">
        <is>
          <t>Système chimique</t>
        </is>
      </c>
      <c r="C8" s="30" t="inlineStr">
        <is>
          <t>C-N-O : 5 espèces d'air + 3 formes gazeuses du carbone + CO, CO2, CN + C(gr)</t>
        </is>
      </c>
      <c r="I8" s="12" t="inlineStr">
        <is>
          <t>12 espèces au total</t>
        </is>
      </c>
    </row>
    <row r="9">
      <c r="B9" s="35" t="inlineStr">
        <is>
          <t>Compositions du XML</t>
        </is>
      </c>
      <c r="C9" s="30" t="inlineStr">
        <is>
          <t>air (-bl) · pyro = C:1.0 (-py, et définit le char)</t>
        </is>
      </c>
      <c r="I9" s="12" t="inlineStr"/>
    </row>
    <row r="11" ht="18" customHeight="1">
      <c r="A11" s="4" t="inlineStr">
        <is>
          <t>§1 — HYPOTHÈSES</t>
        </is>
      </c>
    </row>
    <row r="12" ht="26" customHeight="1">
      <c r="A12" s="20" t="inlineStr">
        <is>
          <t>H1</t>
        </is>
      </c>
      <c r="B12" s="5" t="inlineStr">
        <is>
          <t>Pas de pyrolyse interne : B'g = 0.</t>
        </is>
      </c>
      <c r="I12" s="12" t="inlineStr">
        <is>
          <t>Il n'y a pas de résine à décomposer. Toute la masse injectée vient de la surface, d'où le nom de « cas dégénéré ».</t>
        </is>
      </c>
    </row>
    <row r="13" ht="26" customHeight="1">
      <c r="A13" s="20" t="inlineStr">
        <is>
          <t>H2</t>
        </is>
      </c>
      <c r="B13" s="5" t="inlineStr">
        <is>
          <t>Le char est le matériau lui-même : carbone pur, C:1.0.</t>
        </is>
      </c>
      <c r="I13" s="12" t="inlineStr">
        <is>
          <t>Aucune fermeture élémentaire à faire — c'est la seule mise en données du dépôt où la composition ne se CALCULE pas.</t>
        </is>
      </c>
    </row>
    <row r="14" ht="26" customHeight="1">
      <c r="A14" s="20" t="inlineStr">
        <is>
          <t>H3</t>
        </is>
      </c>
      <c r="B14" s="5" t="inlineStr">
        <is>
          <t>Équilibre thermochimique à la paroi, char infini.</t>
        </is>
      </c>
      <c r="I14" s="12" t="inlineStr">
        <is>
          <t>Le solveur ajoute δ = max(200, 100·B'g) de carbone élémentaire à la composition du bord de couche limite avant de normaliser, puis calcule l'équilibre multiphase.</t>
        </is>
      </c>
    </row>
    <row r="15" ht="26" customHeight="1">
      <c r="A15" s="20" t="inlineStr">
        <is>
          <t>H4</t>
        </is>
      </c>
      <c r="B15" s="5" t="inlineStr">
        <is>
          <t>C(gr) est indispensable dans la liste d'espèces.</t>
        </is>
      </c>
      <c r="I15" s="12" t="inlineStr">
        <is>
          <t>Sans phase condensée, C3 gazeux domine dès 300 K, Y_w,C → 1 et B'c ≈ 200 — non physique. C'est le contrôle du §5, valable pour TOUS les onglets carbonés.</t>
        </is>
      </c>
    </row>
    <row r="17" ht="18" customHeight="1">
      <c r="A17" s="4" t="inlineStr">
        <is>
          <t>§2 — DONNÉES D'ENTRÉE</t>
        </is>
      </c>
    </row>
    <row r="18">
      <c r="B18" s="35" t="inlineStr">
        <is>
          <t>bord de couche limite</t>
        </is>
      </c>
      <c r="C18" s="30" t="inlineStr">
        <is>
          <t>air : N:0.79, O:0.21 (molaire)</t>
        </is>
      </c>
      <c r="I18" s="12" t="inlineStr">
        <is>
          <t>cf. onglet Constantes §2</t>
        </is>
      </c>
    </row>
    <row r="19">
      <c r="B19" s="35" t="inlineStr">
        <is>
          <t>fraction massique d'oxygène de l'air</t>
        </is>
      </c>
      <c r="C19" s="50">
        <f>Constantes!D19</f>
        <v>0.23290921795842306</v>
      </c>
      <c r="I19" s="12" t="inlineStr">
        <is>
          <t>y_O calculé au §2 de l'onglet Constantes</t>
        </is>
      </c>
    </row>
    <row r="20">
      <c r="B20" s="35" t="inlineStr">
        <is>
          <t>masse volumique du graphite [kg/m³]</t>
        </is>
      </c>
      <c r="C20" s="30" t="n">
        <v>1800</v>
      </c>
      <c r="I20" s="12" t="inlineStr">
        <is>
          <t>ordre de grandeur (1600-2200 selon la qualité) — n'entre que dans la récession</t>
        </is>
      </c>
    </row>
    <row r="22" ht="18" customHeight="1">
      <c r="A22" s="4" t="inlineStr">
        <is>
          <t>§3 — CALCUL PAS À PAS</t>
        </is>
      </c>
    </row>
    <row r="23">
      <c r="A23" s="20" t="inlineStr">
        <is>
          <t>&gt;</t>
        </is>
      </c>
      <c r="B23" s="20" t="inlineStr">
        <is>
          <t>Étape 1 — composition élémentaire du char : directe</t>
        </is>
      </c>
      <c r="I23" s="27" t="inlineStr">
        <is>
          <t>le solide est du carbone pur ⇒ x_C = 1</t>
        </is>
      </c>
    </row>
    <row r="24">
      <c r="B24" s="6" t="inlineStr"/>
      <c r="C24" s="6" t="inlineStr">
        <is>
          <t>C</t>
        </is>
      </c>
      <c r="D24" s="6" t="inlineStr">
        <is>
          <t>N</t>
        </is>
      </c>
      <c r="E24" s="6" t="inlineStr">
        <is>
          <t>O</t>
        </is>
      </c>
      <c r="F24" s="6" t="inlineStr">
        <is>
          <t>Somme</t>
        </is>
      </c>
      <c r="G24" s="6" t="inlineStr"/>
      <c r="H24" s="6" t="inlineStr"/>
    </row>
    <row r="25">
      <c r="B25" s="7" t="inlineStr">
        <is>
          <t>char (= le matériau)</t>
        </is>
      </c>
      <c r="C25" s="44" t="n">
        <v>1</v>
      </c>
      <c r="D25" s="24" t="n">
        <v>0</v>
      </c>
      <c r="E25" s="24" t="n">
        <v>0</v>
      </c>
      <c r="F25" s="24">
        <f>SUM(C25:E25)</f>
        <v>1.0</v>
      </c>
      <c r="G25" s="15" t="inlineStr"/>
      <c r="H25" s="15" t="inlineStr"/>
    </row>
    <row r="26">
      <c r="A26" s="20" t="inlineStr">
        <is>
          <t>&gt;</t>
        </is>
      </c>
      <c r="B26" s="20" t="inlineStr">
        <is>
          <t>Étape 2 — gaz de pyrolyse : il n'y en a pas</t>
        </is>
      </c>
      <c r="I26" s="27" t="inlineStr">
        <is>
          <t>B'g = 0 dans toutes les commandes bprime de ce matériau</t>
        </is>
      </c>
    </row>
    <row r="27" ht="30" customHeight="1">
      <c r="B27" s="5" t="inlineStr">
        <is>
          <t>La composition nommée `pyro` du XML vaut néanmoins C:1.0. Ce n'est pas une incohérence : elle sert d'argument à `-py` (le parseur exige une composition valide) et définit le char. Comme elle est appelée avec -b 0.0, elle ne contribue à rien.</t>
        </is>
      </c>
    </row>
    <row r="28">
      <c r="A28" s="20" t="inlineStr">
        <is>
          <t>&gt;</t>
        </is>
      </c>
      <c r="B28" s="20" t="inlineStr">
        <is>
          <t>Étape 3 — le bilan de surface se réduit à une expression fermée</t>
        </is>
      </c>
      <c r="I28" s="27" t="inlineStr">
        <is>
          <t>B'c = [Y_e,C + B'g·Y_g,C − Y_w,C(1+B'g)] / (Y_w,C − Y_c,C)</t>
        </is>
      </c>
    </row>
    <row r="29" ht="16" customHeight="1">
      <c r="B29" s="5" t="inlineStr">
        <is>
          <t>Avec Y_c,C = 1 (char de carbone pur), Y_e,C = 0 (l'air ne contient pas de carbone) et B'g = 0, il ne reste que :</t>
        </is>
      </c>
    </row>
    <row r="30">
      <c r="B30" s="29" t="inlineStr">
        <is>
          <t xml:space="preserve">   B'c = − Y_w,C / (Y_w,C − 1) = Y_w,C / (1 − Y_w,C)</t>
        </is>
      </c>
    </row>
    <row r="31" ht="30" customHeight="1">
      <c r="B31" s="5" t="inlineStr">
        <is>
          <t>La seule inconnue est Y_w,C, la fraction massique de carbone dans le gaz d'équilibre à la paroi — c'est elle que le solveur multiphase calcule à (T_w, P).</t>
        </is>
      </c>
    </row>
    <row r="33" ht="18" customHeight="1">
      <c r="A33" s="4" t="inlineStr">
        <is>
          <t>§4 — RÉSULTAT : CE QUI ENTRE DANS LE XML</t>
        </is>
      </c>
    </row>
    <row r="34">
      <c r="B34" s="6" t="inlineStr">
        <is>
          <t>Composition élémentaire (fractions molaires)</t>
        </is>
      </c>
      <c r="C34" s="6" t="inlineStr">
        <is>
          <t>C</t>
        </is>
      </c>
      <c r="D34" s="6" t="inlineStr">
        <is>
          <t>N</t>
        </is>
      </c>
      <c r="E34" s="6" t="inlineStr">
        <is>
          <t>O</t>
        </is>
      </c>
      <c r="F34" s="6" t="inlineStr">
        <is>
          <t>Somme</t>
        </is>
      </c>
      <c r="G34" s="6" t="inlineStr"/>
      <c r="H34" s="6" t="inlineStr"/>
    </row>
    <row r="35">
      <c r="B35" s="7" t="inlineStr">
        <is>
          <t>pyro / char — valeur portée dans le XML</t>
        </is>
      </c>
      <c r="C35" s="44" t="n">
        <v>1</v>
      </c>
      <c r="D35" s="11" t="inlineStr">
        <is>
          <t>—</t>
        </is>
      </c>
      <c r="E35" s="11" t="inlineStr">
        <is>
          <t>—</t>
        </is>
      </c>
      <c r="F35" s="15" t="inlineStr"/>
      <c r="G35" s="15" t="inlineStr"/>
      <c r="H35" s="15" t="inlineStr"/>
    </row>
    <row r="36">
      <c r="B36" s="7" t="inlineStr">
        <is>
          <t>air — valeur portée dans le XML</t>
        </is>
      </c>
      <c r="C36" s="11" t="inlineStr">
        <is>
          <t>—</t>
        </is>
      </c>
      <c r="D36" s="44" t="n">
        <v>0.79</v>
      </c>
      <c r="E36" s="44" t="n">
        <v>0.21</v>
      </c>
      <c r="F36" s="24">
        <f>D36+E36</f>
        <v>1.0</v>
      </c>
      <c r="G36" s="15" t="inlineStr"/>
      <c r="H36" s="15" t="inlineStr"/>
    </row>
    <row r="38" ht="18" customHeight="1">
      <c r="A38" s="4" t="inlineStr">
        <is>
          <t>§5 — CONTRÔLES ET VALIDATION CROISÉE</t>
        </is>
      </c>
    </row>
    <row r="39">
      <c r="A39" s="20" t="inlineStr">
        <is>
          <t>&gt;</t>
        </is>
      </c>
      <c r="B39" s="20" t="inlineStr">
        <is>
          <t>Contrôle de recette valable pour TOUS les matériaux carbonés du dépôt</t>
        </is>
      </c>
      <c r="I39" s="27" t="inlineStr">
        <is>
          <t>à 300 K, B'g = 0 : régime d'oxydation basse température, C(gr) + O2 → CO2</t>
        </is>
      </c>
    </row>
    <row r="40" ht="30" customHeight="1">
      <c r="B40" s="5" t="inlineStr">
        <is>
          <t>À 300 K tout l'oxygène de l'air est consommé en CO2. Chaque O2 (2 atomes d'oxygène) emporte un atome de carbone : la masse de carbone ablatée par unité de masse d'air vaut donc y_O · M_C / (2·M_O). Ce nombre ne dépend PAS de la pression.</t>
        </is>
      </c>
    </row>
    <row r="41">
      <c r="B41" s="35" t="inlineStr">
        <is>
          <t>B'c attendu à 300 K, 1 atm</t>
        </is>
      </c>
      <c r="C41" s="74">
        <f>C19*Constantes!$C$7/(2*Constantes!$C$9)</f>
        <v>0.08742648343329643</v>
      </c>
      <c r="I41" s="12" t="inlineStr">
        <is>
          <t>attendu 0.0874 — valeur obtenue par bprime sur carbon-air, cork-air, tacot-air…</t>
        </is>
      </c>
    </row>
    <row r="42">
      <c r="B42" s="35" t="inlineStr">
        <is>
          <t>B'c obtenu si C(gr) manque dans &lt;species&gt;</t>
        </is>
      </c>
      <c r="C42" s="31" t="inlineStr">
        <is>
          <t>≈ 200</t>
        </is>
      </c>
      <c r="I42" s="12" t="inlineStr">
        <is>
          <t>signature sans ambiguïté d'une liste d'espèces incomplète : Y_w,C → 1 et B'c sature sur son plafond interne</t>
        </is>
      </c>
    </row>
    <row r="44" ht="18" customHeight="1">
      <c r="A44" s="4" t="inlineStr">
        <is>
          <t>§6 — SENSIBILITÉ — régimes physiques (à 1 atm)</t>
        </is>
      </c>
    </row>
    <row r="45">
      <c r="B45" s="6" t="inlineStr">
        <is>
          <t>Régime</t>
        </is>
      </c>
      <c r="C45" s="6" t="inlineStr">
        <is>
          <t>T_w [K]</t>
        </is>
      </c>
      <c r="D45" s="6" t="inlineStr">
        <is>
          <t>Phase stable</t>
        </is>
      </c>
      <c r="E45" s="6" t="inlineStr">
        <is>
          <t>Espèce gazeuse dominante</t>
        </is>
      </c>
      <c r="F45" s="6" t="inlineStr">
        <is>
          <t>Mécanisme</t>
        </is>
      </c>
      <c r="G45" s="6" t="inlineStr"/>
      <c r="H45" s="6" t="inlineStr"/>
    </row>
    <row r="46">
      <c r="B46" s="7" t="inlineStr">
        <is>
          <t>faible ablation</t>
        </is>
      </c>
      <c r="C46" s="75" t="inlineStr">
        <is>
          <t>300 – 700</t>
        </is>
      </c>
      <c r="D46" s="75" t="inlineStr">
        <is>
          <t>C(gr)</t>
        </is>
      </c>
      <c r="E46" s="75" t="inlineStr">
        <is>
          <t>CO2, O2, N2</t>
        </is>
      </c>
      <c r="F46" s="11" t="inlineStr">
        <is>
          <t>C(gr) + O2 → CO2</t>
        </is>
      </c>
      <c r="G46" s="15" t="inlineStr"/>
      <c r="H46" s="15" t="inlineStr"/>
    </row>
    <row r="47">
      <c r="B47" s="7" t="inlineStr">
        <is>
          <t>oxydation active</t>
        </is>
      </c>
      <c r="C47" s="75" t="inlineStr">
        <is>
          <t>700 – 3500</t>
        </is>
      </c>
      <c r="D47" s="75" t="inlineStr">
        <is>
          <t>C(gr)</t>
        </is>
      </c>
      <c r="E47" s="75" t="inlineStr">
        <is>
          <t>CO, N2, CN</t>
        </is>
      </c>
      <c r="F47" s="11" t="inlineStr">
        <is>
          <t>C(gr) + O → CO ; Boudouard C(gr) + CO2 → 2 CO</t>
        </is>
      </c>
      <c r="G47" s="15" t="inlineStr"/>
      <c r="H47" s="15" t="inlineStr"/>
    </row>
    <row r="48">
      <c r="B48" s="7" t="inlineStr">
        <is>
          <t>sublimation</t>
        </is>
      </c>
      <c r="C48" s="75" t="inlineStr">
        <is>
          <t>3500 – 4000</t>
        </is>
      </c>
      <c r="D48" s="75" t="inlineStr">
        <is>
          <t>C(gr) + gaz</t>
        </is>
      </c>
      <c r="E48" s="75" t="inlineStr">
        <is>
          <t>CO, CN, C3</t>
        </is>
      </c>
      <c r="F48" s="11" t="inlineStr">
        <is>
          <t>C(gr) ⇌ C, C2, C3</t>
        </is>
      </c>
      <c r="G48" s="15" t="inlineStr"/>
      <c r="H48" s="15" t="inlineStr"/>
    </row>
    <row r="49">
      <c r="B49" s="7" t="inlineStr">
        <is>
          <t>sublimation totale</t>
        </is>
      </c>
      <c r="C49" s="75" t="inlineStr">
        <is>
          <t>&gt; 4000</t>
        </is>
      </c>
      <c r="D49" s="75" t="inlineStr">
        <is>
          <t>gaz seul</t>
        </is>
      </c>
      <c r="E49" s="75" t="inlineStr">
        <is>
          <t>C, C2, C3</t>
        </is>
      </c>
      <c r="F49" s="11" t="inlineStr">
        <is>
          <t>plus de phase condensée : B'c ≫ 1</t>
        </is>
      </c>
      <c r="G49" s="15" t="inlineStr"/>
      <c r="H49" s="15" t="inlineStr"/>
    </row>
    <row r="50">
      <c r="B50" s="12" t="inlineStr">
        <is>
          <t>À haute pression les mêmes régimes sont décalés vers des températures plus élevées (la sublimation est retardée, effet Clausius-Clapeyron), tandis que les réactions d'oxydation sont favorisées. La table B' est donc une SURFACE B'c(T_w, P), tracée comme un faisceau de 25 isobares de 10⁻³ à 10³ atm.</t>
        </is>
      </c>
    </row>
    <row r="52" ht="18" customHeight="1">
      <c r="A52" s="4" t="inlineStr">
        <is>
          <t>§7 — RÉPONSE MATÉRIAU (n'entre PAS dans le XML)</t>
        </is>
      </c>
    </row>
    <row r="53">
      <c r="B53" s="35" t="inlineStr">
        <is>
          <t>couplage k = B'g / B'c</t>
        </is>
      </c>
      <c r="C53" s="70" t="n">
        <v>0</v>
      </c>
      <c r="I53" s="12" t="inlineStr">
        <is>
          <t>aucun gaz de pyrolyse — le graphite est le seul matériau du classeur à k = 0</t>
        </is>
      </c>
    </row>
    <row r="54">
      <c r="B54" s="35" t="inlineStr">
        <is>
          <t>récession par unité de flux, B'c/ρ_c à 300 K [m³/kg]</t>
        </is>
      </c>
      <c r="C54" s="41">
        <f>C19*Constantes!$C$7/(2*Constantes!$C$9)/C20</f>
        <v>4.857026857405357e-05</v>
      </c>
      <c r="I54" s="12" t="inlineStr">
        <is>
          <t>ṡ = B'c·ṁe/ρ_c</t>
        </is>
      </c>
    </row>
    <row r="56" ht="18" customHeight="1">
      <c r="A56" s="4" t="inlineStr">
        <is>
          <t>§8 — BLOC XML</t>
        </is>
      </c>
    </row>
    <row r="57">
      <c r="B57" s="29" t="inlineStr">
        <is>
          <t>&lt;mixture thermo_db="NASA-9"&gt;</t>
        </is>
      </c>
    </row>
    <row r="58">
      <c r="B58" s="29" t="inlineStr">
        <is>
          <t xml:space="preserve">    &lt;species&gt;</t>
        </is>
      </c>
    </row>
    <row r="59">
      <c r="B59" s="29" t="inlineStr">
        <is>
          <t xml:space="preserve">        N O NO N2 O2 C C2 C3 CN CO CO2 C(gr)</t>
        </is>
      </c>
    </row>
    <row r="60">
      <c r="B60" s="29" t="inlineStr">
        <is>
          <t xml:space="preserve">    &lt;/species&gt;</t>
        </is>
      </c>
    </row>
    <row r="61">
      <c r="B61" s="29" t="inlineStr">
        <is>
          <t xml:space="preserve">    &lt;element_compositions default="air"&gt;</t>
        </is>
      </c>
    </row>
    <row r="62">
      <c r="B62" s="29" t="inlineStr">
        <is>
          <t xml:space="preserve">        &lt;composition name="air"&gt;N:0.79, O:0.21&lt;/composition&gt;</t>
        </is>
      </c>
    </row>
    <row r="63">
      <c r="B63" s="29" t="inlineStr">
        <is>
          <t xml:space="preserve">        &lt;composition name="pyro"&gt;C:1.0&lt;/composition&gt;</t>
        </is>
      </c>
    </row>
    <row r="64">
      <c r="B64" s="29" t="inlineStr">
        <is>
          <t xml:space="preserve">    &lt;/element_compositions&gt;</t>
        </is>
      </c>
    </row>
    <row r="65">
      <c r="B65" s="29" t="inlineStr">
        <is>
          <t>&lt;/mixture&gt;</t>
        </is>
      </c>
    </row>
    <row r="67" ht="16" customHeight="1">
      <c r="B67" s="5" t="inlineStr">
        <is>
          <t>bprime -T 300:25:5000 -P &lt;P&gt; -b 0.0 -m carbon-air -bl air -py pyro</t>
        </is>
      </c>
    </row>
  </sheetData>
  <mergeCells count="36">
    <mergeCell ref="B62:I62"/>
    <mergeCell ref="A56:I56"/>
    <mergeCell ref="B59:I59"/>
    <mergeCell ref="A3:I3"/>
    <mergeCell ref="B15:H15"/>
    <mergeCell ref="B31:I31"/>
    <mergeCell ref="B27:I27"/>
    <mergeCell ref="B58:I58"/>
    <mergeCell ref="A2:I2"/>
    <mergeCell ref="B26:H26"/>
    <mergeCell ref="A33:I33"/>
    <mergeCell ref="A5:I5"/>
    <mergeCell ref="A17:I17"/>
    <mergeCell ref="B60:I60"/>
    <mergeCell ref="B67:I67"/>
    <mergeCell ref="A22:I22"/>
    <mergeCell ref="B61:I61"/>
    <mergeCell ref="B57:I57"/>
    <mergeCell ref="A38:I38"/>
    <mergeCell ref="A52:I52"/>
    <mergeCell ref="B29:I29"/>
    <mergeCell ref="B12:H12"/>
    <mergeCell ref="B39:H39"/>
    <mergeCell ref="A44:I44"/>
    <mergeCell ref="B65:I65"/>
    <mergeCell ref="B23:H23"/>
    <mergeCell ref="B40:I40"/>
    <mergeCell ref="B14:H14"/>
    <mergeCell ref="B30:I30"/>
    <mergeCell ref="A11:I11"/>
    <mergeCell ref="B64:I64"/>
    <mergeCell ref="B13:H13"/>
    <mergeCell ref="A1:I1"/>
    <mergeCell ref="B63:I63"/>
    <mergeCell ref="B50:I50"/>
    <mergeCell ref="B28:H28"/>
  </mergeCells>
  <pageMargins left="0.75" right="0.75" top="1" bottom="1" header="0.5" footer="0.5"/>
</worksheet>
</file>

<file path=xl/worksheets/sheet11.xml><?xml version="1.0" encoding="utf-8"?>
<worksheet xmlns="http://schemas.openxmlformats.org/spreadsheetml/2006/main">
  <sheetPr>
    <tabColor rgb="000070C0"/>
    <outlinePr summaryBelow="1" summaryRight="1"/>
    <pageSetUpPr/>
  </sheetPr>
  <dimension ref="A1:I60"/>
  <sheetViews>
    <sheetView showGridLines="0" workbookViewId="0">
      <pane ySplit="4" topLeftCell="A5" activePane="bottomLeft" state="frozen"/>
      <selection pane="bottomLeft" activeCell="A1" sqref="A1"/>
    </sheetView>
  </sheetViews>
  <sheetFormatPr baseColWidth="8" defaultRowHeight="15"/>
  <cols>
    <col width="4.5" customWidth="1" min="1" max="1"/>
    <col width="34" customWidth="1" min="2" max="2"/>
    <col width="13" customWidth="1" min="3" max="3"/>
    <col width="13" customWidth="1" min="4" max="4"/>
    <col width="13" customWidth="1" min="5" max="5"/>
    <col width="13" customWidth="1" min="6" max="6"/>
    <col width="13" customWidth="1" min="7" max="7"/>
    <col width="13" customWidth="1" min="8" max="8"/>
    <col width="72" customWidth="1" min="9" max="9"/>
  </cols>
  <sheetData>
    <row r="1" ht="26" customHeight="1">
      <c r="A1" s="1" t="inlineStr">
        <is>
          <t>Silice SiO2 — char MULTI-ÉLÉMENT</t>
        </is>
      </c>
    </row>
    <row r="2" ht="16" customHeight="1">
      <c r="A2" s="2" t="inlineStr">
        <is>
          <t>Premier char du dépôt qui n'est pas du carbone (avec le SiC) : montre comment se remplit une composition à plusieurs éléments</t>
        </is>
      </c>
    </row>
    <row r="3">
      <c r="A3" s="3" t="inlineStr">
        <is>
          <t>Fichier(s) XML : data/mixtures/silica-air.xml</t>
        </is>
      </c>
    </row>
    <row r="5" ht="18" customHeight="1">
      <c r="A5" s="4" t="inlineStr">
        <is>
          <t>§0 — FICHE D'IDENTITÉ</t>
        </is>
      </c>
    </row>
    <row r="6">
      <c r="B6" s="35" t="inlineStr">
        <is>
          <t>Matériau</t>
        </is>
      </c>
      <c r="C6" s="30" t="inlineStr">
        <is>
          <t>silice pure SiO2</t>
        </is>
      </c>
      <c r="I6" s="12" t="inlineStr">
        <is>
          <t>silice_bprime/silice_bprime.py</t>
        </is>
      </c>
    </row>
    <row r="7">
      <c r="B7" s="35" t="inlineStr">
        <is>
          <t>Système chimique</t>
        </is>
      </c>
      <c r="C7" s="30" t="inlineStr">
        <is>
          <t>Si-N-O : 5 espèces d'air + 5 espèces gazeuses du silicium + 4 phases condensées de SiO2</t>
        </is>
      </c>
      <c r="I7" s="12" t="inlineStr">
        <is>
          <t>SiO2(a-qz), SiO2(b-qz), SiO2(b-crt), SiO2(L)</t>
        </is>
      </c>
    </row>
    <row r="8">
      <c r="B8" s="35" t="inlineStr">
        <is>
          <t>Binaire dédié</t>
        </is>
      </c>
      <c r="C8" s="30" t="inlineStr">
        <is>
          <t>bprime_silica (et non bprime)</t>
        </is>
      </c>
      <c r="I8" s="12" t="inlineStr">
        <is>
          <t>le bilan est résolu sur Si, pas sur C</t>
        </is>
      </c>
    </row>
    <row r="9">
      <c r="B9" s="35" t="inlineStr">
        <is>
          <t>Compositions du XML</t>
        </is>
      </c>
      <c r="C9" s="30" t="inlineStr">
        <is>
          <t>air (-bl) · silice (char, -char-elem Si)</t>
        </is>
      </c>
      <c r="I9" s="12" t="inlineStr"/>
    </row>
    <row r="11" ht="18" customHeight="1">
      <c r="A11" s="4" t="inlineStr">
        <is>
          <t>§1 — HYPOTHÈSES</t>
        </is>
      </c>
    </row>
    <row r="12" ht="26" customHeight="1">
      <c r="A12" s="20" t="inlineStr">
        <is>
          <t>H1</t>
        </is>
      </c>
      <c r="B12" s="5" t="inlineStr">
        <is>
          <t>Le char est la silice elle-même, de stœchiométrie SiO2 exacte.</t>
        </is>
      </c>
      <c r="I12" s="12" t="inlineStr">
        <is>
          <t>Matériau monolithique : pas de résine, donc pas de gaz de pyrolyse (B'g = 0) et pas de fermeture élémentaire à faire.</t>
        </is>
      </c>
    </row>
    <row r="13" ht="26" customHeight="1">
      <c r="A13" s="20" t="inlineStr">
        <is>
          <t>H2</t>
        </is>
      </c>
      <c r="B13" s="5" t="inlineStr">
        <is>
          <t>L'élément du bilan est le SILICIUM, pas le carbone.</t>
        </is>
      </c>
      <c r="I13" s="12" t="inlineStr">
        <is>
          <t>Règle générale : `-char-elem` doit désigner un élément PRÉSENT dans le char et ABSENT (ou minoritaire) au bord de couche limite. L'oxygène ne conviendrait pas — l'air en contient 21 % molaire.</t>
        </is>
      </c>
    </row>
    <row r="14" ht="26" customHeight="1">
      <c r="A14" s="20" t="inlineStr">
        <is>
          <t>H3</t>
        </is>
      </c>
      <c r="B14" s="5" t="inlineStr">
        <is>
          <t>Les quatre phases condensées de SiO2 doivent figurer dans &lt;species&gt;.</t>
        </is>
      </c>
      <c r="I14" s="12" t="inlineStr">
        <is>
          <t>Même exigence que C(gr) pour les matériaux carbonés : sans phase condensée, le solveur ne peut pas faire précipiter la silice et B'c sature sur une valeur non physique. Ici il faut les quatre polymorphes (quartz α et β, cristobalite β, liquide) pour couvrir toute la plage de température.</t>
        </is>
      </c>
    </row>
    <row r="15" ht="26" customHeight="1">
      <c r="A15" s="20" t="inlineStr">
        <is>
          <t>H4</t>
        </is>
      </c>
      <c r="B15" s="5" t="inlineStr">
        <is>
          <t>Équilibre thermochimique à la paroi.</t>
        </is>
      </c>
      <c r="I15" s="12" t="inlineStr">
        <is>
          <t>Identique aux autres matériaux.</t>
        </is>
      </c>
    </row>
    <row r="17" ht="18" customHeight="1">
      <c r="A17" s="4" t="inlineStr">
        <is>
          <t>§2 — DONNÉES D'ENTRÉE</t>
        </is>
      </c>
    </row>
    <row r="18">
      <c r="B18" s="35" t="inlineStr">
        <is>
          <t>stœchiométrie — ν_Si</t>
        </is>
      </c>
      <c r="C18" s="37" t="n">
        <v>1</v>
      </c>
      <c r="I18" s="12" t="inlineStr">
        <is>
          <t>SiO2</t>
        </is>
      </c>
    </row>
    <row r="19">
      <c r="B19" s="35" t="inlineStr">
        <is>
          <t>stœchiométrie — ν_O</t>
        </is>
      </c>
      <c r="C19" s="37" t="n">
        <v>2</v>
      </c>
      <c r="I19" s="12" t="inlineStr"/>
    </row>
    <row r="20">
      <c r="B20" s="35" t="inlineStr">
        <is>
          <t>masse volumique de la silice [kg/m³]</t>
        </is>
      </c>
      <c r="C20" s="30" t="n">
        <v>2200</v>
      </c>
      <c r="I20" s="12" t="inlineStr">
        <is>
          <t>silice vitreuse — n'entre que dans la récession</t>
        </is>
      </c>
    </row>
    <row r="22" ht="18" customHeight="1">
      <c r="A22" s="4" t="inlineStr">
        <is>
          <t>§3 — CALCUL PAS À PAS</t>
        </is>
      </c>
    </row>
    <row r="23">
      <c r="A23" s="20" t="inlineStr">
        <is>
          <t>&gt;</t>
        </is>
      </c>
      <c r="B23" s="20" t="inlineStr">
        <is>
          <t>Étape 1 — masse molaire du motif</t>
        </is>
      </c>
      <c r="I23" s="27" t="inlineStr">
        <is>
          <t>M = ν_Si·M_Si + ν_O·M_O</t>
        </is>
      </c>
    </row>
    <row r="24">
      <c r="B24" s="35" t="inlineStr">
        <is>
          <t>M(SiO2) [g/mol]</t>
        </is>
      </c>
      <c r="C24" s="70">
        <f>C18*Constantes!$C$11+C19*Constantes!$C$9</f>
        <v>60.0835</v>
      </c>
      <c r="I24" s="12" t="inlineStr">
        <is>
          <t>attendu 60.08 g/mol</t>
        </is>
      </c>
    </row>
    <row r="25">
      <c r="A25" s="20" t="inlineStr">
        <is>
          <t>&gt;</t>
        </is>
      </c>
      <c r="B25" s="20" t="inlineStr">
        <is>
          <t>Étape 2 — composition élémentaire, en molaire puis en massique</t>
        </is>
      </c>
      <c r="I25" s="27" t="inlineStr">
        <is>
          <t>x_E = ν_E / Σ ν_j ;  y_E = ν_E·M_E / M</t>
        </is>
      </c>
    </row>
    <row r="26">
      <c r="B26" s="6" t="inlineStr"/>
      <c r="C26" s="6" t="inlineStr">
        <is>
          <t>Si</t>
        </is>
      </c>
      <c r="D26" s="6" t="inlineStr">
        <is>
          <t>O</t>
        </is>
      </c>
      <c r="E26" s="6" t="inlineStr">
        <is>
          <t>Somme</t>
        </is>
      </c>
      <c r="F26" s="6" t="inlineStr"/>
      <c r="G26" s="6" t="inlineStr"/>
      <c r="H26" s="6" t="inlineStr"/>
    </row>
    <row r="27">
      <c r="B27" s="7" t="inlineStr">
        <is>
          <t>ν_E (moles d'atomes par motif)</t>
        </is>
      </c>
      <c r="C27" s="24">
        <f>C18</f>
        <v>1.0</v>
      </c>
      <c r="D27" s="24">
        <f>C19</f>
        <v>2.0</v>
      </c>
      <c r="E27" s="24">
        <f>SUM(C27:D27)</f>
        <v>3.0</v>
      </c>
      <c r="F27" s="15" t="inlineStr"/>
      <c r="G27" s="15" t="inlineStr"/>
      <c r="H27" s="15" t="inlineStr"/>
    </row>
    <row r="28">
      <c r="B28" s="7" t="inlineStr">
        <is>
          <t>x_E (fraction molaire élémentaire, normalisée)</t>
        </is>
      </c>
      <c r="C28" s="26">
        <f>C27/$E$27</f>
        <v>0.3333333333333333</v>
      </c>
      <c r="D28" s="26">
        <f>D27/$E$27</f>
        <v>0.6666666666666666</v>
      </c>
      <c r="E28" s="24">
        <f>SUM(C28:D28)</f>
        <v>1.0</v>
      </c>
      <c r="F28" s="15" t="inlineStr"/>
      <c r="G28" s="15" t="inlineStr"/>
      <c r="H28" s="15" t="inlineStr"/>
    </row>
    <row r="29">
      <c r="B29" s="7" t="inlineStr">
        <is>
          <t>y_E (fraction massique élémentaire)</t>
        </is>
      </c>
      <c r="C29" s="26">
        <f>C27*Constantes!$C$11/$C$24</f>
        <v>0.4674411444073664</v>
      </c>
      <c r="D29" s="26">
        <f>D27*Constantes!$C$9/$C$24</f>
        <v>0.5325588555926336</v>
      </c>
      <c r="E29" s="24">
        <f>SUM(C29:D29)</f>
        <v>1.0</v>
      </c>
      <c r="F29" s="15" t="inlineStr"/>
      <c r="G29" s="15" t="inlineStr"/>
      <c r="H29" s="15" t="inlineStr"/>
    </row>
    <row r="30">
      <c r="B30" s="12" t="inlineStr">
        <is>
          <t>Attendu : x_Si = 0.3333 / x_O = 0.6667 en molaire, y_Si = 0.4674 / y_O = 0.5326 en masse. Le piège classique est de confondre les deux — le parseur suppose du MOLAIRE par défaut.</t>
        </is>
      </c>
    </row>
    <row r="32" ht="18" customHeight="1">
      <c r="A32" s="4" t="inlineStr">
        <is>
          <t>§4 — RÉSULTAT : CE QUI ENTRE DANS LE XML</t>
        </is>
      </c>
    </row>
    <row r="33">
      <c r="B33" s="6" t="inlineStr">
        <is>
          <t>Composition élémentaire</t>
        </is>
      </c>
      <c r="C33" s="6" t="inlineStr">
        <is>
          <t>Si</t>
        </is>
      </c>
      <c r="D33" s="6" t="inlineStr">
        <is>
          <t>O</t>
        </is>
      </c>
      <c r="E33" s="6" t="inlineStr">
        <is>
          <t>Somme</t>
        </is>
      </c>
      <c r="F33" s="6" t="inlineStr">
        <is>
          <t>après normalisation par le parseur</t>
        </is>
      </c>
      <c r="G33" s="6" t="inlineStr"/>
      <c r="H33" s="6" t="inlineStr"/>
    </row>
    <row r="34">
      <c r="B34" s="7" t="inlineStr">
        <is>
          <t>valeur portée dans le XML (silice)</t>
        </is>
      </c>
      <c r="C34" s="44" t="n">
        <v>1</v>
      </c>
      <c r="D34" s="44" t="n">
        <v>2</v>
      </c>
      <c r="E34" s="24">
        <f>SUM(C34:D34)</f>
        <v>3.0</v>
      </c>
      <c r="F34" s="11" t="inlineStr">
        <is>
          <t>x_Si = 1/3, x_O = 2/3</t>
        </is>
      </c>
      <c r="G34" s="15" t="inlineStr"/>
    </row>
    <row r="35">
      <c r="B35" s="12" t="inlineStr">
        <is>
          <t>C'est l'illustration la plus nette de la règle de normalisation automatique (Composition::componentsFromList) : « Si:1.0, O:2.0 » somme à 3, et le parseur le ramène à 1. On peut donc saisir indifféremment des moles brutes, des pourcentages ou des fractions — c'est le RAPPORT qui compte, et écrire directement Si:0.3333, O:0.6667 donnerait exactement le même mélange.</t>
        </is>
      </c>
    </row>
    <row r="37" ht="18" customHeight="1">
      <c r="A37" s="4" t="inlineStr">
        <is>
          <t>§5 — CONTRÔLES ET VALIDATION CROISÉE</t>
        </is>
      </c>
    </row>
    <row r="38">
      <c r="B38" s="35" t="inlineStr">
        <is>
          <t>x_Si + x_O après normalisation</t>
        </is>
      </c>
      <c r="C38" s="60">
        <f>C28+D28</f>
        <v>1.0</v>
      </c>
      <c r="I38" s="12" t="inlineStr">
        <is>
          <t>doit valoir 1 exactement</t>
        </is>
      </c>
    </row>
    <row r="39">
      <c r="B39" s="35" t="inlineStr">
        <is>
          <t>rapport O/Si</t>
        </is>
      </c>
      <c r="C39" s="70">
        <f>D27/C27</f>
        <v>2.0</v>
      </c>
      <c r="I39" s="12" t="inlineStr">
        <is>
          <t>doit valoir 2 — la stœchiométrie de la silice</t>
        </is>
      </c>
    </row>
    <row r="40">
      <c r="B40" s="12" t="inlineStr">
        <is>
          <t>Le cas de la silice est aussi le CONTRE-EXEMPLE de référence pour les composites : dès que les constituants ne carbonisent pas vers le même produit (fibres de silice + résine phénolique, par exemple), le char devient multi-élément et il faut pondérer par les MASSES de char de chaque constituant : n_E(char) = Σ_i (m_char,i / M_i)·ν_E,i. Le ratio renfort/résine entre alors dans la table B' — cf. onglet CPh70 §6 pour le cas contraire, et l'onglet Liège-phénolique §5 pour un exemple chiffré de pondération.</t>
        </is>
      </c>
    </row>
    <row r="42" ht="18" customHeight="1">
      <c r="A42" s="4" t="inlineStr">
        <is>
          <t>§6 — SENSIBILITÉ</t>
        </is>
      </c>
    </row>
    <row r="43" ht="30" customHeight="1">
      <c r="B43" s="5" t="inlineStr">
        <is>
          <t>Sans objet : la stœchiométrie SiO2 est exacte, il n'y a ni rendement en char, ni analyse élémentaire, ni motif de résine à choisir. C'est la mise en données la moins incertaine du classeur — l'incertitude est reportée sur la base thermodynamique des quatre phases condensées et sur l'hypothèse d'équilibre à la paroi.</t>
        </is>
      </c>
    </row>
    <row r="45" ht="18" customHeight="1">
      <c r="A45" s="4" t="inlineStr">
        <is>
          <t>§7 — RÉPONSE MATÉRIAU (n'entre PAS dans le XML)</t>
        </is>
      </c>
    </row>
    <row r="46">
      <c r="B46" s="35" t="inlineStr">
        <is>
          <t>couplage k = B'g / B'c</t>
        </is>
      </c>
      <c r="C46" s="70" t="n">
        <v>0</v>
      </c>
      <c r="I46" s="12" t="inlineStr">
        <is>
          <t>pas de pyrolyse interne — comme le graphite</t>
        </is>
      </c>
    </row>
    <row r="47">
      <c r="B47" s="35" t="inlineStr">
        <is>
          <t>ρ_char [kg/m³]</t>
        </is>
      </c>
      <c r="C47" s="76">
        <f>C20</f>
        <v>2200.0</v>
      </c>
      <c r="I47" s="12" t="inlineStr">
        <is>
          <t>la silice fondue est évacuée mécaniquement : la récession réelle dépasse celle donnée par B'c seul</t>
        </is>
      </c>
    </row>
    <row r="49" ht="18" customHeight="1">
      <c r="A49" s="4" t="inlineStr">
        <is>
          <t>§8 — BLOC XML</t>
        </is>
      </c>
    </row>
    <row r="50">
      <c r="B50" s="29" t="inlineStr">
        <is>
          <t>&lt;mixture thermo_db="NASA-9"&gt;</t>
        </is>
      </c>
    </row>
    <row r="51">
      <c r="B51" s="29" t="inlineStr">
        <is>
          <t xml:space="preserve">    &lt;species&gt;</t>
        </is>
      </c>
    </row>
    <row r="52">
      <c r="B52" s="29" t="inlineStr">
        <is>
          <t xml:space="preserve">        N O NO N2 O2 Si SiO SiO2 Si2 SiN SiO2(a-qz) SiO2(b-qz) SiO2(b-crt) SiO2(L)</t>
        </is>
      </c>
    </row>
    <row r="53">
      <c r="B53" s="29" t="inlineStr">
        <is>
          <t xml:space="preserve">    &lt;/species&gt;</t>
        </is>
      </c>
    </row>
    <row r="54">
      <c r="B54" s="29" t="inlineStr">
        <is>
          <t xml:space="preserve">    &lt;element_compositions default="air"&gt;</t>
        </is>
      </c>
    </row>
    <row r="55">
      <c r="B55" s="29" t="inlineStr">
        <is>
          <t xml:space="preserve">        &lt;composition name="air"&gt;N:0.79, O:0.21&lt;/composition&gt;</t>
        </is>
      </c>
    </row>
    <row r="56">
      <c r="B56" s="29" t="inlineStr">
        <is>
          <t xml:space="preserve">        &lt;composition name="silice"&gt;Si:1.0, O:2.0&lt;/composition&gt;</t>
        </is>
      </c>
    </row>
    <row r="57">
      <c r="B57" s="29" t="inlineStr">
        <is>
          <t xml:space="preserve">    &lt;/element_compositions&gt;</t>
        </is>
      </c>
    </row>
    <row r="58">
      <c r="B58" s="29" t="inlineStr">
        <is>
          <t>&lt;/mixture&gt;</t>
        </is>
      </c>
    </row>
    <row r="60" ht="16" customHeight="1">
      <c r="B60" s="5" t="inlineStr">
        <is>
          <t>bprime_silica -T 300:25:5000 -P &lt;P&gt; -b 0.0 -m silica-air -bl air</t>
        </is>
      </c>
    </row>
  </sheetData>
  <mergeCells count="32">
    <mergeCell ref="A37:I37"/>
    <mergeCell ref="B54:I54"/>
    <mergeCell ref="A3:I3"/>
    <mergeCell ref="B15:H15"/>
    <mergeCell ref="B43:I43"/>
    <mergeCell ref="B56:I56"/>
    <mergeCell ref="B58:I58"/>
    <mergeCell ref="B52:I52"/>
    <mergeCell ref="A2:I2"/>
    <mergeCell ref="A5:I5"/>
    <mergeCell ref="A42:I42"/>
    <mergeCell ref="A32:I32"/>
    <mergeCell ref="A17:I17"/>
    <mergeCell ref="B60:I60"/>
    <mergeCell ref="A22:I22"/>
    <mergeCell ref="B25:H25"/>
    <mergeCell ref="B57:I57"/>
    <mergeCell ref="B53:I53"/>
    <mergeCell ref="B12:H12"/>
    <mergeCell ref="B40:I40"/>
    <mergeCell ref="B23:H23"/>
    <mergeCell ref="B14:H14"/>
    <mergeCell ref="B30:I30"/>
    <mergeCell ref="A11:I11"/>
    <mergeCell ref="A49:I49"/>
    <mergeCell ref="B13:H13"/>
    <mergeCell ref="B55:I55"/>
    <mergeCell ref="B51:I51"/>
    <mergeCell ref="A1:I1"/>
    <mergeCell ref="A45:I45"/>
    <mergeCell ref="B35:I35"/>
    <mergeCell ref="B50:I50"/>
  </mergeCells>
  <pageMargins left="0.75" right="0.75" top="1" bottom="1" header="0.5" footer="0.5"/>
</worksheet>
</file>

<file path=xl/worksheets/sheet12.xml><?xml version="1.0" encoding="utf-8"?>
<worksheet xmlns="http://schemas.openxmlformats.org/spreadsheetml/2006/main">
  <sheetPr>
    <tabColor rgb="007030A0"/>
    <outlinePr summaryBelow="1" summaryRight="1"/>
    <pageSetUpPr/>
  </sheetPr>
  <dimension ref="A1:I88"/>
  <sheetViews>
    <sheetView showGridLines="0" workbookViewId="0">
      <pane ySplit="4" topLeftCell="A5" activePane="bottomLeft" state="frozen"/>
      <selection pane="bottomLeft" activeCell="A1" sqref="A1"/>
    </sheetView>
  </sheetViews>
  <sheetFormatPr baseColWidth="8" defaultRowHeight="15"/>
  <cols>
    <col width="4.5" customWidth="1" min="1" max="1"/>
    <col width="34" customWidth="1" min="2" max="2"/>
    <col width="13" customWidth="1" min="3" max="3"/>
    <col width="13" customWidth="1" min="4" max="4"/>
    <col width="13" customWidth="1" min="5" max="5"/>
    <col width="13" customWidth="1" min="6" max="6"/>
    <col width="13" customWidth="1" min="7" max="7"/>
    <col width="13" customWidth="1" min="8" max="8"/>
    <col width="72" customWidth="1" min="9" max="9"/>
  </cols>
  <sheetData>
    <row r="1" ht="26" customHeight="1">
      <c r="A1" s="1" t="inlineStr">
        <is>
          <t>Carbure de silicium SiC — char multi-élément NON congruent</t>
        </is>
      </c>
    </row>
    <row r="2" ht="16" customHeight="1">
      <c r="A2" s="2" t="inlineStr">
        <is>
          <t>Char à deux éléments qui peut laisser à la paroi SiO2, Si liquide ou carbone : le bilan est suivi sur l'azote de l'air</t>
        </is>
      </c>
    </row>
    <row r="3">
      <c r="A3" s="3" t="inlineStr">
        <is>
          <t>Fichier(s) XML : data/mixtures/sic-air.xml</t>
        </is>
      </c>
    </row>
    <row r="5" ht="18" customHeight="1">
      <c r="A5" s="4" t="inlineStr">
        <is>
          <t>§0 — FICHE D'IDENTITÉ</t>
        </is>
      </c>
    </row>
    <row r="6">
      <c r="B6" s="35" t="inlineStr">
        <is>
          <t>Matériau</t>
        </is>
      </c>
      <c r="C6" s="30" t="inlineStr">
        <is>
          <t>carbure de silicium massif β-SiC (dense, fritté ou CVD)</t>
        </is>
      </c>
      <c r="I6" s="12" t="inlineStr">
        <is>
          <t>sic_bprime/sic_bprime.py · sic_bprime/README.md</t>
        </is>
      </c>
    </row>
    <row r="7">
      <c r="B7" s="35" t="inlineStr">
        <is>
          <t>Système chimique</t>
        </is>
      </c>
      <c r="C7" s="30" t="inlineStr">
        <is>
          <t>Si-C-N-O : 5 espèces d'air + 6 gaz carbonés + 10 gaz siliciés (SiO, SiO2, SiC, SiC2, Si2C, SiN…) + 9 phases condensées</t>
        </is>
      </c>
      <c r="I7" s="12" t="inlineStr">
        <is>
          <t>30 espèces au total</t>
        </is>
      </c>
    </row>
    <row r="8">
      <c r="B8" s="35" t="inlineStr">
        <is>
          <t>Phases condensées</t>
        </is>
      </c>
      <c r="C8" s="30" t="inlineStr">
        <is>
          <t>C(gr) · Si(cr), Si(L) · SiC(b), SiC(L) · SiO2(a-qz), SiO2(b-qz), SiO2(b-crt), SiO2(L)</t>
        </is>
      </c>
      <c r="I8" s="12" t="inlineStr">
        <is>
          <t>une seule forme de chaque famille est valide à une température donnée</t>
        </is>
      </c>
    </row>
    <row r="9">
      <c r="B9" s="35" t="inlineStr">
        <is>
          <t>Binaire</t>
        </is>
      </c>
      <c r="C9" s="30" t="inlineStr">
        <is>
          <t>bprime généralisé : -char sic -char-elem N</t>
        </is>
      </c>
      <c r="I9" s="12" t="inlineStr">
        <is>
          <t>aucun binaire dédié (contrairement à bprime_silica)</t>
        </is>
      </c>
    </row>
    <row r="10">
      <c r="B10" s="35" t="inlineStr">
        <is>
          <t>Compositions du XML</t>
        </is>
      </c>
      <c r="C10" s="30" t="inlineStr">
        <is>
          <t>air (-bl) · sic (char, -char)</t>
        </is>
      </c>
      <c r="I10" s="12" t="inlineStr"/>
    </row>
    <row r="12" ht="18" customHeight="1">
      <c r="A12" s="4" t="inlineStr">
        <is>
          <t>§1 — HYPOTHÈSES</t>
        </is>
      </c>
    </row>
    <row r="13" ht="26" customHeight="1">
      <c r="A13" s="20" t="inlineStr">
        <is>
          <t>H1</t>
        </is>
      </c>
      <c r="B13" s="5" t="inlineStr">
        <is>
          <t>Le char est le SiC lui-même, de stœchiométrie Si:C = 1:1 exacte.</t>
        </is>
      </c>
      <c r="I13" s="12" t="inlineStr">
        <is>
          <t>Matériau monolithique : pas de résine, donc pas de gaz de pyrolyse (B'g = 0) et pas de fermeture élémentaire à faire.</t>
        </is>
      </c>
    </row>
    <row r="14" ht="26" customHeight="1">
      <c r="A14" s="20" t="inlineStr">
        <is>
          <t>H2</t>
        </is>
      </c>
      <c r="B14" s="5" t="inlineStr">
        <is>
          <t>L'élément du bilan est l'AZOTE de l'air, pas Si ni C.</t>
        </is>
      </c>
      <c r="I14" s="12" t="inlineStr">
        <is>
          <t>Le SiC ne se consomme pas toujours en bloc : selon (T_w, P) il laisse de la silice (oxydation passive), du silicium liquide ou un résidu de carbone (décomposition SiC → Si(g) + C(gr)). Suivre Si ou C donne alors un B'c faux — nul, ou négatif puis écrêté, alors que le matériau se décompose (§5). N est inerte et absent de toute phase condensée : son bilan donne la masse NETTE gazéifiée par la paroi. Pour le carbone et la silice, dont le char est la seule phase condensée, le résultat est identique à celui du suivi sur C ou sur Si.</t>
        </is>
      </c>
    </row>
    <row r="15" ht="26" customHeight="1">
      <c r="A15" s="20" t="inlineStr">
        <is>
          <t>H3</t>
        </is>
      </c>
      <c r="B15" s="5" t="inlineStr">
        <is>
          <t>Toutes les phases condensées du système Si-C-O figurent dans &lt;species&gt;, sauf Si3N4.</t>
        </is>
      </c>
      <c r="I15" s="12" t="inlineStr">
        <is>
          <t>Même exigence que C(gr) pour le carbone : sans SiO2 condensée, l'oxydation passive disparaît ; sans C(gr), le résidu de décomposition ne peut pas se former. Si3N4(cr) est écarté : il bloque le solveur, et la nitruration du SiC sous air est cinétiquement inhibée.</t>
        </is>
      </c>
    </row>
    <row r="16" ht="26" customHeight="1">
      <c r="A16" s="20" t="inlineStr">
        <is>
          <t>H4</t>
        </is>
      </c>
      <c r="B16" s="5" t="inlineStr">
        <is>
          <t>Équilibre thermochimique à la paroi, vérifié point par point.</t>
        </is>
      </c>
      <c r="I16" s="12" t="inlineStr">
        <is>
          <t>Le solveur multiphase boucle sur ~7 % des points (frontières de phases). Chaque point est contrôlé : aucune phase absente ne doit avoir une force motrice g°/RT − Σ a·λ négative. Sinon les assemblages de phases sont énumérés et celui qui vérifie ce critère est retenu (équilibre vrai). Là où plusieurs solides coexistent (SiC + C(gr), SiC + SiO2 + Si(L)), l'équilibre à assemblage fixé est résolu directement en potentiels élémentaires. Bilan : 4387 points directs, 289 par énumération, 49 à assemblage fixé, tous strictement stables.</t>
        </is>
      </c>
    </row>
    <row r="18" ht="18" customHeight="1">
      <c r="A18" s="4" t="inlineStr">
        <is>
          <t>§2 — DONNÉES D'ENTRÉE</t>
        </is>
      </c>
    </row>
    <row r="19">
      <c r="B19" s="35" t="inlineStr">
        <is>
          <t>stœchiométrie — ν_Si</t>
        </is>
      </c>
      <c r="C19" s="37" t="n">
        <v>1</v>
      </c>
      <c r="I19" s="12" t="inlineStr">
        <is>
          <t>SiC</t>
        </is>
      </c>
    </row>
    <row r="20">
      <c r="B20" s="35" t="inlineStr">
        <is>
          <t>stœchiométrie — ν_C</t>
        </is>
      </c>
      <c r="C20" s="37" t="n">
        <v>1</v>
      </c>
      <c r="I20" s="12" t="inlineStr"/>
    </row>
    <row r="21">
      <c r="B21" s="35" t="inlineStr">
        <is>
          <t>fraction massique d'oxygène de l'air</t>
        </is>
      </c>
      <c r="C21" s="50">
        <f>Constantes!D19</f>
        <v>0.23290921795842306</v>
      </c>
      <c r="I21" s="12" t="inlineStr">
        <is>
          <t>y_O calculé au §2 de l'onglet Constantes</t>
        </is>
      </c>
    </row>
    <row r="22">
      <c r="B22" s="35" t="inlineStr">
        <is>
          <t>fraction massique d'azote de l'air</t>
        </is>
      </c>
      <c r="C22" s="50">
        <f>Constantes!C19</f>
        <v>0.7670907820415769</v>
      </c>
      <c r="I22" s="12" t="inlineStr">
        <is>
          <t>y_N — l'élément de suivi du bilan (H2)</t>
        </is>
      </c>
    </row>
    <row r="23">
      <c r="B23" s="35" t="inlineStr">
        <is>
          <t>masse volumique du SiC [kg/m³]</t>
        </is>
      </c>
      <c r="C23" s="30" t="n">
        <v>3210</v>
      </c>
      <c r="I23" s="12" t="inlineStr">
        <is>
          <t>β-SiC dense — n'entre que dans la récession</t>
        </is>
      </c>
    </row>
    <row r="25" ht="18" customHeight="1">
      <c r="A25" s="4" t="inlineStr">
        <is>
          <t>§3 — CALCUL PAS À PAS</t>
        </is>
      </c>
    </row>
    <row r="26">
      <c r="A26" s="20" t="inlineStr">
        <is>
          <t>&gt;</t>
        </is>
      </c>
      <c r="B26" s="20" t="inlineStr">
        <is>
          <t>Étape 1 — masse molaire du motif</t>
        </is>
      </c>
      <c r="I26" s="27" t="inlineStr">
        <is>
          <t>M = ν_Si·M_Si + ν_C·M_C</t>
        </is>
      </c>
    </row>
    <row r="27">
      <c r="B27" s="35" t="inlineStr">
        <is>
          <t>M(SiC) [g/mol]</t>
        </is>
      </c>
      <c r="C27" s="70">
        <f>C19*Constantes!$C$11+C20*Constantes!$C$7</f>
        <v>40.0965</v>
      </c>
      <c r="I27" s="12" t="inlineStr">
        <is>
          <t>attendu 40.10 g/mol</t>
        </is>
      </c>
    </row>
    <row r="28">
      <c r="A28" s="20" t="inlineStr">
        <is>
          <t>&gt;</t>
        </is>
      </c>
      <c r="B28" s="20" t="inlineStr">
        <is>
          <t>Étape 2 — composition élémentaire, en molaire puis en massique</t>
        </is>
      </c>
      <c r="I28" s="27" t="inlineStr">
        <is>
          <t>x_E = ν_E / Σ ν_j ;  y_E = ν_E·M_E / M</t>
        </is>
      </c>
    </row>
    <row r="29">
      <c r="B29" s="6" t="inlineStr"/>
      <c r="C29" s="6" t="inlineStr">
        <is>
          <t>Si</t>
        </is>
      </c>
      <c r="D29" s="6" t="inlineStr">
        <is>
          <t>C</t>
        </is>
      </c>
      <c r="E29" s="6" t="inlineStr">
        <is>
          <t>Somme</t>
        </is>
      </c>
      <c r="F29" s="6" t="inlineStr"/>
      <c r="G29" s="6" t="inlineStr"/>
      <c r="H29" s="6" t="inlineStr"/>
    </row>
    <row r="30">
      <c r="B30" s="7" t="inlineStr">
        <is>
          <t>ν_E (moles d'atomes par motif)</t>
        </is>
      </c>
      <c r="C30" s="24">
        <f>C19</f>
        <v>1.0</v>
      </c>
      <c r="D30" s="24">
        <f>C20</f>
        <v>1.0</v>
      </c>
      <c r="E30" s="24">
        <f>SUM(C30:D30)</f>
        <v>2.0</v>
      </c>
      <c r="F30" s="15" t="inlineStr"/>
      <c r="G30" s="15" t="inlineStr"/>
      <c r="H30" s="15" t="inlineStr"/>
    </row>
    <row r="31">
      <c r="B31" s="7" t="inlineStr">
        <is>
          <t>x_E (fraction molaire élémentaire, normalisée)</t>
        </is>
      </c>
      <c r="C31" s="26">
        <f>C30/$E$30</f>
        <v>0.5</v>
      </c>
      <c r="D31" s="26">
        <f>D30/$E$30</f>
        <v>0.5</v>
      </c>
      <c r="E31" s="24">
        <f>SUM(C31:D31)</f>
        <v>1.0</v>
      </c>
      <c r="F31" s="15" t="inlineStr"/>
      <c r="G31" s="15" t="inlineStr"/>
      <c r="H31" s="15" t="inlineStr"/>
    </row>
    <row r="32">
      <c r="B32" s="7" t="inlineStr">
        <is>
          <t>y_E (fraction massique élémentaire)</t>
        </is>
      </c>
      <c r="C32" s="26">
        <f>C30*Constantes!$C$11/$C$27</f>
        <v>0.7004476699961344</v>
      </c>
      <c r="D32" s="26">
        <f>D30*Constantes!$C$7/$C$27</f>
        <v>0.29955233000386566</v>
      </c>
      <c r="E32" s="24">
        <f>SUM(C32:D32)</f>
        <v>1.0</v>
      </c>
      <c r="F32" s="15" t="inlineStr"/>
      <c r="G32" s="15" t="inlineStr"/>
      <c r="H32" s="15" t="inlineStr"/>
    </row>
    <row r="33">
      <c r="B33" s="12" t="inlineStr">
        <is>
          <t>Attendu : x_Si = x_C = 0.5000 en molaire, y_Si = 0.7005 / y_C = 0.2995 en masse.</t>
        </is>
      </c>
    </row>
    <row r="34">
      <c r="A34" s="20" t="inlineStr">
        <is>
          <t>&gt;</t>
        </is>
      </c>
      <c r="B34" s="20" t="inlineStr">
        <is>
          <t>Étape 3 — le bilan de surface, écrit sur l'azote</t>
        </is>
      </c>
      <c r="I34" s="27" t="inlineStr">
        <is>
          <t>B'c = [Y_e,N + B'g·Y_g,N − Y_w,N(1+B'g)] / (Y_w,N − Y_c,N)</t>
        </is>
      </c>
    </row>
    <row r="35" ht="16" customHeight="1">
      <c r="B35" s="5" t="inlineStr">
        <is>
          <t>Avec Y_c,N = 0 (le char ne contient pas d'azote) et B'g = 0, il ne reste que :</t>
        </is>
      </c>
    </row>
    <row r="36">
      <c r="B36" s="29" t="inlineStr">
        <is>
          <t xml:space="preserve">   B'c = Y_e,N / Y_w,N − 1        (masse nette gazéifiée par unité de masse d'air)</t>
        </is>
      </c>
    </row>
    <row r="37" ht="30" customHeight="1">
      <c r="B37" s="5" t="inlineStr">
        <is>
          <t>Le gaz à la paroi contient (1 + B'c) fois la masse d'air qui y entre ; l'azote, qui ne se dépose nulle part, s'y trouve dilué d'autant. Si la paroi FIXE de l'oxygène (silice d'oxydation passive), la masse gazéifiée nette est négative : bprime écrête B'c à 0, comme pour tous les matériaux.</t>
        </is>
      </c>
    </row>
    <row r="39" ht="18" customHeight="1">
      <c r="A39" s="4" t="inlineStr">
        <is>
          <t>§4 — RÉSULTAT : CE QUI ENTRE DANS LE XML</t>
        </is>
      </c>
    </row>
    <row r="40">
      <c r="B40" s="6" t="inlineStr">
        <is>
          <t>Composition élémentaire</t>
        </is>
      </c>
      <c r="C40" s="6" t="inlineStr">
        <is>
          <t>Si</t>
        </is>
      </c>
      <c r="D40" s="6" t="inlineStr">
        <is>
          <t>C</t>
        </is>
      </c>
      <c r="E40" s="6" t="inlineStr">
        <is>
          <t>Somme</t>
        </is>
      </c>
      <c r="F40" s="6" t="inlineStr">
        <is>
          <t>après normalisation par le parseur</t>
        </is>
      </c>
      <c r="G40" s="6" t="inlineStr"/>
      <c r="H40" s="6" t="inlineStr"/>
    </row>
    <row r="41">
      <c r="B41" s="7" t="inlineStr">
        <is>
          <t>valeur portée dans le XML (sic)</t>
        </is>
      </c>
      <c r="C41" s="44" t="n">
        <v>1</v>
      </c>
      <c r="D41" s="44" t="n">
        <v>1</v>
      </c>
      <c r="E41" s="24">
        <f>SUM(C41:D41)</f>
        <v>2.0</v>
      </c>
      <c r="F41" s="11" t="inlineStr">
        <is>
          <t>x_Si = x_C = 1/2</t>
        </is>
      </c>
      <c r="G41" s="15" t="inlineStr"/>
    </row>
    <row r="42">
      <c r="B42" s="7" t="inlineStr">
        <is>
          <t>air — valeur portée dans le XML</t>
        </is>
      </c>
      <c r="C42" s="77" t="inlineStr">
        <is>
          <t>N : 0.79</t>
        </is>
      </c>
      <c r="D42" s="77" t="inlineStr">
        <is>
          <t>O : 0.21</t>
        </is>
      </c>
      <c r="E42" s="15" t="inlineStr"/>
      <c r="F42" s="15" t="inlineStr"/>
      <c r="G42" s="15" t="inlineStr"/>
    </row>
    <row r="44" ht="18" customHeight="1">
      <c r="A44" s="4" t="inlineStr">
        <is>
          <t>§5 — CONTRÔLES ET VALIDATION CROISÉE</t>
        </is>
      </c>
    </row>
    <row r="45">
      <c r="A45" s="20" t="inlineStr">
        <is>
          <t>&gt;</t>
        </is>
      </c>
      <c r="B45" s="20" t="inlineStr">
        <is>
          <t>Contrôle 1 — plateau d'oxydation ACTIVE, indépendant de la pression</t>
        </is>
      </c>
      <c r="I45" s="27" t="inlineStr">
        <is>
          <t>SiC + O2 → SiO(g) + CO : un SiC gazéifié par O2 consommé</t>
        </is>
      </c>
    </row>
    <row r="46" ht="30" customHeight="1">
      <c r="B46" s="5" t="inlineStr">
        <is>
          <t>Tout l'oxygène de l'air part en SiO et CO, la paroi reste du SiC nu. Chaque O2 (2 atomes d'oxygène) emporte un motif SiC : la masse ablatée par unité de masse d'air vaut y_O · M_SiC / (2·M_O).</t>
        </is>
      </c>
    </row>
    <row r="47">
      <c r="B47" s="35" t="inlineStr">
        <is>
          <t>B'c attendu sur le plateau</t>
        </is>
      </c>
      <c r="C47" s="74">
        <f>C21*$C$27/(2*Constantes!$C$9)</f>
        <v>0.2918571303790834</v>
      </c>
      <c r="I47" s="12" t="inlineStr">
        <is>
          <t>table : 0.2920 à 1 atm entre 1975 et 2200 K ; 0.2919 à 0.001 atm, 1600 K</t>
        </is>
      </c>
    </row>
    <row r="48">
      <c r="A48" s="20" t="inlineStr">
        <is>
          <t>&gt;</t>
        </is>
      </c>
      <c r="B48" s="20" t="inlineStr">
        <is>
          <t>Contrôle 2 — oxydation PASSIVE à basse température</t>
        </is>
      </c>
      <c r="I48" s="27" t="inlineStr">
        <is>
          <t>SiC + O2 → SiO2(s) + C(gr) : la paroi fixe l'oxygène</t>
        </is>
      </c>
    </row>
    <row r="49" ht="30" customHeight="1">
      <c r="B49" s="5" t="inlineStr">
        <is>
          <t>Le gaz à la paroi est de l'azote pur : Y_w,N = 1, donc B'c = Y_e,N − 1 &lt; 0 (prise de masse), écrêté à 0. C'est la couche de silice protectrice qui fait l'intérêt du SiC.</t>
        </is>
      </c>
    </row>
    <row r="50">
      <c r="B50" s="35" t="inlineStr">
        <is>
          <t>B'c brut (avant écrêtage) à 300 K</t>
        </is>
      </c>
      <c r="C50" s="46">
        <f>C22/1-1</f>
        <v>-0.23290921795842312</v>
      </c>
      <c r="I50" s="12" t="inlineStr">
        <is>
          <t>prise de masse = masse d'oxygène fixée</t>
        </is>
      </c>
    </row>
    <row r="51">
      <c r="A51" s="20" t="inlineStr">
        <is>
          <t>&gt;</t>
        </is>
      </c>
      <c r="B51" s="20" t="inlineStr">
        <is>
          <t>Contrôle 3 — pourquoi PAS -char-elem Si : comparaison sur trois points calculés</t>
        </is>
      </c>
    </row>
    <row r="52">
      <c r="B52" s="6" t="inlineStr">
        <is>
          <t>Point (T_w, P)</t>
        </is>
      </c>
      <c r="C52" s="6" t="inlineStr">
        <is>
          <t>phases à la paroi</t>
        </is>
      </c>
      <c r="D52" s="6" t="inlineStr">
        <is>
          <t>B'c suivi N</t>
        </is>
      </c>
      <c r="E52" s="6" t="inlineStr">
        <is>
          <t>B'c suivi Si</t>
        </is>
      </c>
      <c r="F52" s="6" t="inlineStr">
        <is>
          <t>B'c suivi C</t>
        </is>
      </c>
      <c r="G52" s="6" t="inlineStr"/>
      <c r="H52" s="6" t="inlineStr"/>
    </row>
    <row r="53">
      <c r="B53" s="7" t="inlineStr">
        <is>
          <t>2100 K, 1 atm</t>
        </is>
      </c>
      <c r="C53" s="75" t="inlineStr">
        <is>
          <t>SiC</t>
        </is>
      </c>
      <c r="D53" s="21" t="n">
        <v>0.292</v>
      </c>
      <c r="E53" s="21" t="n">
        <v>0.292</v>
      </c>
      <c r="F53" s="21" t="n">
        <v>0.292</v>
      </c>
      <c r="G53" s="15" t="inlineStr"/>
      <c r="H53" s="15" t="inlineStr"/>
    </row>
    <row r="54">
      <c r="B54" s="7" t="inlineStr">
        <is>
          <t>2600 K, 1 atm</t>
        </is>
      </c>
      <c r="C54" s="75" t="inlineStr">
        <is>
          <t>SiC + Si(L)</t>
        </is>
      </c>
      <c r="D54" s="21" t="n">
        <v>0.2583</v>
      </c>
      <c r="E54" s="21" t="n">
        <v>0.1506</v>
      </c>
      <c r="F54" s="21" t="n">
        <v>0.6108</v>
      </c>
      <c r="G54" s="15" t="inlineStr"/>
      <c r="H54" s="15" t="inlineStr"/>
    </row>
    <row r="55">
      <c r="B55" s="7" t="inlineStr">
        <is>
          <t>2500 K, 0.001 atm</t>
        </is>
      </c>
      <c r="C55" s="75" t="inlineStr">
        <is>
          <t>C(gr) (résidu)</t>
        </is>
      </c>
      <c r="D55" s="21" t="n">
        <v>185.4</v>
      </c>
      <c r="E55" s="21" t="n">
        <v>0</v>
      </c>
      <c r="F55" s="21" t="n">
        <v>4.312</v>
      </c>
      <c r="G55" s="15" t="inlineStr"/>
      <c r="H55" s="15" t="inlineStr"/>
    </row>
    <row r="56">
      <c r="B56" s="12" t="inlineStr">
        <is>
          <t>Les trois suivis coïncident tant que le SiC est la seule phase condensée. Dès qu'un autre solide reste à la paroi, un suivi sur un seul élément du char suppose à tort que l'autre part avec lui dans le rapport 1:1 : avec Si liquide résiduel, le suivi sur Si sous-estime (0.15) et le suivi sur C surestime (0.61) ; avec un résidu de carbone, le suivi sur Si tombe à 0 alors que le SiC se décompose. Le suivi sur N donne la masse réellement injectée dans la couche limite, celle qu'attend le bilan d'énergie de surface.</t>
        </is>
      </c>
    </row>
    <row r="58" ht="18" customHeight="1">
      <c r="A58" s="4" t="inlineStr">
        <is>
          <t>§6 — SENSIBILITÉ — régimes physiques (à 1 atm)</t>
        </is>
      </c>
    </row>
    <row r="59">
      <c r="B59" s="6" t="inlineStr">
        <is>
          <t>Régime</t>
        </is>
      </c>
      <c r="C59" s="6" t="inlineStr">
        <is>
          <t>T_w [K]</t>
        </is>
      </c>
      <c r="D59" s="6" t="inlineStr">
        <is>
          <t>Phases condensées</t>
        </is>
      </c>
      <c r="E59" s="6" t="inlineStr">
        <is>
          <t>Espèces gazeuses dominantes</t>
        </is>
      </c>
      <c r="F59" s="6" t="inlineStr">
        <is>
          <t>Mécanisme</t>
        </is>
      </c>
      <c r="G59" s="6" t="inlineStr"/>
      <c r="H59" s="6" t="inlineStr"/>
    </row>
    <row r="60">
      <c r="B60" s="7" t="inlineStr">
        <is>
          <t>oxydation passive</t>
        </is>
      </c>
      <c r="C60" s="75" t="inlineStr">
        <is>
          <t>300 – 1625</t>
        </is>
      </c>
      <c r="D60" s="75" t="inlineStr">
        <is>
          <t>SiC + SiO2 + C(gr)</t>
        </is>
      </c>
      <c r="E60" s="75" t="inlineStr">
        <is>
          <t>N2</t>
        </is>
      </c>
      <c r="F60" s="11" t="inlineStr">
        <is>
          <t>SiC + O2 → SiO2 + C ; B'c = 0</t>
        </is>
      </c>
      <c r="G60" s="15" t="inlineStr"/>
      <c r="H60" s="15" t="inlineStr"/>
    </row>
    <row r="61">
      <c r="B61" s="7" t="inlineStr">
        <is>
          <t>transition passive → active</t>
        </is>
      </c>
      <c r="C61" s="75" t="inlineStr">
        <is>
          <t>1650 – 1950</t>
        </is>
      </c>
      <c r="D61" s="75" t="inlineStr">
        <is>
          <t>SiC + SiO2</t>
        </is>
      </c>
      <c r="E61" s="75" t="inlineStr">
        <is>
          <t>N2, CO, SiO</t>
        </is>
      </c>
      <c r="F61" s="11" t="inlineStr">
        <is>
          <t>SiC + 2 SiO2 → 3 SiO + CO ; B'c 0 → 0.17</t>
        </is>
      </c>
      <c r="G61" s="15" t="inlineStr"/>
      <c r="H61" s="15" t="inlineStr"/>
    </row>
    <row r="62">
      <c r="B62" s="7" t="inlineStr">
        <is>
          <t>oxydation active</t>
        </is>
      </c>
      <c r="C62" s="75" t="inlineStr">
        <is>
          <t>1975 – 2200</t>
        </is>
      </c>
      <c r="D62" s="75" t="inlineStr">
        <is>
          <t>SiC</t>
        </is>
      </c>
      <c r="E62" s="75" t="inlineStr">
        <is>
          <t>N2, CO, SiO</t>
        </is>
      </c>
      <c r="F62" s="11" t="inlineStr">
        <is>
          <t>SiC + O2 → SiO + CO ; B'c = 0.292</t>
        </is>
      </c>
      <c r="G62" s="15" t="inlineStr"/>
      <c r="H62" s="15" t="inlineStr"/>
    </row>
    <row r="63">
      <c r="B63" s="7" t="inlineStr">
        <is>
          <t>oxydation + silicium liquide</t>
        </is>
      </c>
      <c r="C63" s="75" t="inlineStr">
        <is>
          <t>2225 – 3000</t>
        </is>
      </c>
      <c r="D63" s="75" t="inlineStr">
        <is>
          <t>SiC + Si(L)</t>
        </is>
      </c>
      <c r="E63" s="75" t="inlineStr">
        <is>
          <t>N2, CO, SiO, Si, Si2C</t>
        </is>
      </c>
      <c r="F63" s="11" t="inlineStr">
        <is>
          <t>SiC + O → Si(L) + CO ; B'c 0.29 → 1.7</t>
        </is>
      </c>
      <c r="G63" s="15" t="inlineStr"/>
      <c r="H63" s="15" t="inlineStr"/>
    </row>
    <row r="64">
      <c r="B64" s="7" t="inlineStr">
        <is>
          <t>sublimation</t>
        </is>
      </c>
      <c r="C64" s="75" t="inlineStr">
        <is>
          <t>3025 – 3100</t>
        </is>
      </c>
      <c r="D64" s="75" t="inlineStr">
        <is>
          <t>SiC</t>
        </is>
      </c>
      <c r="E64" s="75" t="inlineStr">
        <is>
          <t>SiC2, Si2C, Si</t>
        </is>
      </c>
      <c r="F64" s="11" t="inlineStr">
        <is>
          <t>SiC ⇌ Si + SiC2 + Si2C ; B'c 2.3 → 13.5</t>
        </is>
      </c>
      <c r="G64" s="15" t="inlineStr"/>
      <c r="H64" s="15" t="inlineStr"/>
    </row>
    <row r="65">
      <c r="B65" s="7" t="inlineStr">
        <is>
          <t>sublimation totale</t>
        </is>
      </c>
      <c r="C65" s="75" t="inlineStr">
        <is>
          <t>≥ 3125</t>
        </is>
      </c>
      <c r="D65" s="75" t="inlineStr">
        <is>
          <t>gaz seul</t>
        </is>
      </c>
      <c r="E65" s="75" t="inlineStr">
        <is>
          <t>Si, SiC2, Si2C</t>
        </is>
      </c>
      <c r="F65" s="11" t="inlineStr">
        <is>
          <t>plus de phase condensée : B'c = 200 (plafond)</t>
        </is>
      </c>
      <c r="G65" s="15" t="inlineStr"/>
      <c r="H65" s="15" t="inlineStr"/>
    </row>
    <row r="66">
      <c r="B66" s="12" t="inlineStr">
        <is>
          <t>La pression décale TOUTES les transitions : à 0.001 atm l'oxydation devient active dès 1500 K et le SiC se décompose en laissant un résidu de carbone dès 2350 K ; à 1000 atm la silice (liquide) protège jusqu'à ~2700 K. Assemblage retenu en chaque point : sic_bprime/sic_bprime_phases.csv.</t>
        </is>
      </c>
    </row>
    <row r="68" ht="18" customHeight="1">
      <c r="A68" s="4" t="inlineStr">
        <is>
          <t>§7 — RÉPONSE MATÉRIAU (n'entre PAS dans le XML)</t>
        </is>
      </c>
    </row>
    <row r="69">
      <c r="B69" s="35" t="inlineStr">
        <is>
          <t>couplage k = B'g / B'c</t>
        </is>
      </c>
      <c r="C69" s="70" t="n">
        <v>0</v>
      </c>
      <c r="I69" s="12" t="inlineStr">
        <is>
          <t>pas de pyrolyse interne — comme le graphite et la silice</t>
        </is>
      </c>
    </row>
    <row r="70">
      <c r="B70" s="35" t="inlineStr">
        <is>
          <t>récession par unité de flux sur le plateau actif, B'c/ρ [m³/kg]</t>
        </is>
      </c>
      <c r="C70" s="41">
        <f>C21*$C$27/(2*Constantes!$C$9)/C23</f>
        <v>9.092122441715994e-05</v>
      </c>
      <c r="I70" s="12" t="inlineStr">
        <is>
          <t>ṡ = B'c·ṁe/ρ — valable tant que la paroi reste du SiC nu</t>
        </is>
      </c>
    </row>
    <row r="71">
      <c r="B71" s="12" t="inlineStr">
        <is>
          <t>Hors du régime actif la paroi porte un autre solide (SiO2, Si liquide, carbone) : B'c reste la masse gazéifiée, mais la récession du SiC n'en découle plus directement — le solide résiduel s'accumule, coule ou s'écaille, ce que le modèle d'équilibre ne décrit pas.</t>
        </is>
      </c>
    </row>
    <row r="73" ht="18" customHeight="1">
      <c r="A73" s="4" t="inlineStr">
        <is>
          <t>§8 — BLOC XML</t>
        </is>
      </c>
    </row>
    <row r="74">
      <c r="B74" s="29" t="inlineStr">
        <is>
          <t>&lt;mixture thermo_db="NASA-9"&gt;</t>
        </is>
      </c>
    </row>
    <row r="75">
      <c r="B75" s="29" t="inlineStr">
        <is>
          <t xml:space="preserve">    &lt;species&gt;</t>
        </is>
      </c>
    </row>
    <row r="76">
      <c r="B76" s="29" t="inlineStr">
        <is>
          <t xml:space="preserve">        N O NO N2 O2</t>
        </is>
      </c>
    </row>
    <row r="77">
      <c r="B77" s="29" t="inlineStr">
        <is>
          <t xml:space="preserve">        C C2 C3 CN CO CO2</t>
        </is>
      </c>
    </row>
    <row r="78">
      <c r="B78" s="29" t="inlineStr">
        <is>
          <t xml:space="preserve">        Si Si2 Si3 SiO SiO2 SiN Si2N SiC SiC2 Si2C</t>
        </is>
      </c>
    </row>
    <row r="79">
      <c r="B79" s="29" t="inlineStr">
        <is>
          <t xml:space="preserve">        C(gr) Si(cr) Si(L) SiC(b) SiC(L)</t>
        </is>
      </c>
    </row>
    <row r="80">
      <c r="B80" s="29" t="inlineStr">
        <is>
          <t xml:space="preserve">        SiO2(a-qz) SiO2(b-qz) SiO2(b-crt) SiO2(L)</t>
        </is>
      </c>
    </row>
    <row r="81">
      <c r="B81" s="29" t="inlineStr">
        <is>
          <t xml:space="preserve">    &lt;/species&gt;</t>
        </is>
      </c>
    </row>
    <row r="82">
      <c r="B82" s="29" t="inlineStr">
        <is>
          <t xml:space="preserve">    &lt;element_compositions default="air"&gt;</t>
        </is>
      </c>
    </row>
    <row r="83">
      <c r="B83" s="29" t="inlineStr">
        <is>
          <t xml:space="preserve">        &lt;composition name="air"&gt;N:0.79, O:0.21&lt;/composition&gt;</t>
        </is>
      </c>
    </row>
    <row r="84">
      <c r="B84" s="29" t="inlineStr">
        <is>
          <t xml:space="preserve">        &lt;composition name="sic"&gt;Si:1.0, C:1.0&lt;/composition&gt;</t>
        </is>
      </c>
    </row>
    <row r="85">
      <c r="B85" s="29" t="inlineStr">
        <is>
          <t xml:space="preserve">    &lt;/element_compositions&gt;</t>
        </is>
      </c>
    </row>
    <row r="86">
      <c r="B86" s="29" t="inlineStr">
        <is>
          <t>&lt;/mixture&gt;</t>
        </is>
      </c>
    </row>
    <row r="88" ht="16" customHeight="1">
      <c r="B88" s="5" t="inlineStr">
        <is>
          <t>bprime -T &lt;Tw&gt; -P &lt;P&gt; -b 0.0 -m sic-air -bl air -char sic -char-elem N   (point par point, cf. sic_bprime.py)</t>
        </is>
      </c>
    </row>
  </sheetData>
  <mergeCells count="45">
    <mergeCell ref="B85:I85"/>
    <mergeCell ref="A25:I25"/>
    <mergeCell ref="B75:I75"/>
    <mergeCell ref="B81:I81"/>
    <mergeCell ref="A18:I18"/>
    <mergeCell ref="B66:I66"/>
    <mergeCell ref="A3:I3"/>
    <mergeCell ref="B15:H15"/>
    <mergeCell ref="B46:I46"/>
    <mergeCell ref="A12:I12"/>
    <mergeCell ref="B51:H51"/>
    <mergeCell ref="B71:I71"/>
    <mergeCell ref="B45:H45"/>
    <mergeCell ref="B56:I56"/>
    <mergeCell ref="A2:I2"/>
    <mergeCell ref="B26:H26"/>
    <mergeCell ref="B86:I86"/>
    <mergeCell ref="B77:I77"/>
    <mergeCell ref="A5:I5"/>
    <mergeCell ref="B16:H16"/>
    <mergeCell ref="B88:I88"/>
    <mergeCell ref="B82:I82"/>
    <mergeCell ref="A68:I68"/>
    <mergeCell ref="B78:I78"/>
    <mergeCell ref="A44:I44"/>
    <mergeCell ref="B48:H48"/>
    <mergeCell ref="B37:I37"/>
    <mergeCell ref="A58:I58"/>
    <mergeCell ref="A39:I39"/>
    <mergeCell ref="B49:I49"/>
    <mergeCell ref="B84:I84"/>
    <mergeCell ref="B74:I74"/>
    <mergeCell ref="B14:H14"/>
    <mergeCell ref="A73:I73"/>
    <mergeCell ref="B83:I83"/>
    <mergeCell ref="B13:H13"/>
    <mergeCell ref="B33:I33"/>
    <mergeCell ref="A1:I1"/>
    <mergeCell ref="B36:I36"/>
    <mergeCell ref="B80:I80"/>
    <mergeCell ref="B76:I76"/>
    <mergeCell ref="B79:I79"/>
    <mergeCell ref="B34:H34"/>
    <mergeCell ref="B35:I35"/>
    <mergeCell ref="B28:H28"/>
  </mergeCells>
  <pageMargins left="0.75" right="0.75" top="1" bottom="1" header="0.5" footer="0.5"/>
</worksheet>
</file>

<file path=xl/worksheets/sheet13.xml><?xml version="1.0" encoding="utf-8"?>
<worksheet xmlns="http://schemas.openxmlformats.org/spreadsheetml/2006/main">
  <sheetPr>
    <tabColor rgb="00C55A11"/>
    <outlinePr summaryBelow="1" summaryRight="1"/>
    <pageSetUpPr/>
  </sheetPr>
  <dimension ref="A1:I70"/>
  <sheetViews>
    <sheetView showGridLines="0" workbookViewId="0">
      <pane ySplit="4" topLeftCell="A5" activePane="bottomLeft" state="frozen"/>
      <selection pane="bottomLeft" activeCell="A1" sqref="A1"/>
    </sheetView>
  </sheetViews>
  <sheetFormatPr baseColWidth="8" defaultRowHeight="15"/>
  <cols>
    <col width="4.5" customWidth="1" min="1" max="1"/>
    <col width="34" customWidth="1" min="2" max="2"/>
    <col width="13" customWidth="1" min="3" max="3"/>
    <col width="13" customWidth="1" min="4" max="4"/>
    <col width="13" customWidth="1" min="5" max="5"/>
    <col width="13" customWidth="1" min="6" max="6"/>
    <col width="13" customWidth="1" min="7" max="7"/>
    <col width="13" customWidth="1" min="8" max="8"/>
    <col width="72" customWidth="1" min="9" max="9"/>
  </cols>
  <sheetData>
    <row r="1" ht="26" customHeight="1">
      <c r="A1" s="1" t="inlineStr">
        <is>
          <t>Molybdène Mo (TZM) — métal à oxyde VOLATIL</t>
        </is>
      </c>
    </row>
    <row r="2" ht="16" customHeight="1">
      <c r="A2" s="2" t="inlineStr">
        <is>
          <t>Char monoélément dont l'oxyde MoO3 s'évapore : deux tables encadrent la réalité, équilibre complet (borne basse) et surface nue (borne haute)</t>
        </is>
      </c>
    </row>
    <row r="3">
      <c r="A3" s="3" t="inlineStr">
        <is>
          <t>Fichier(s) XML : data/mixtures/mo-air.xml</t>
        </is>
      </c>
    </row>
    <row r="5" ht="18" customHeight="1">
      <c r="A5" s="4" t="inlineStr">
        <is>
          <t>§0 — FICHE D'IDENTITÉ</t>
        </is>
      </c>
    </row>
    <row r="6">
      <c r="B6" s="35" t="inlineStr">
        <is>
          <t>Matériau</t>
        </is>
      </c>
      <c r="C6" s="30" t="inlineStr">
        <is>
          <t>molybdène ; s'applique au TZM (Mo + 0.5 % Ti, 0.08 % Zr, ~0.02 % C)</t>
        </is>
      </c>
      <c r="I6" s="12" t="inlineStr">
        <is>
          <t>mo_bprime/mo_bprime.py · mo_bprime/README.md</t>
        </is>
      </c>
    </row>
    <row r="7">
      <c r="B7" s="35" t="inlineStr">
        <is>
          <t>Système chimique</t>
        </is>
      </c>
      <c r="C7" s="30" t="inlineStr">
        <is>
          <t>Mo-N-O : 5 espèces d'air + Mo, MoO, MoO2, MoO3 et polymères Mo2O6…Mo5O15 + 5 phases condensées</t>
        </is>
      </c>
      <c r="I7" s="12" t="inlineStr">
        <is>
          <t>18 espèces au total</t>
        </is>
      </c>
    </row>
    <row r="8">
      <c r="B8" s="35" t="inlineStr">
        <is>
          <t>Phases condensées</t>
        </is>
      </c>
      <c r="C8" s="30" t="inlineStr">
        <is>
          <t>Mo(cr), Mo(L) · MoO2(cr) · MoO3(cr), MoO3(L)</t>
        </is>
      </c>
      <c r="I8" s="12" t="inlineStr">
        <is>
          <t>toutes présentes dans nasa9.dat</t>
        </is>
      </c>
    </row>
    <row r="9">
      <c r="B9" s="35" t="inlineStr">
        <is>
          <t>Binaire</t>
        </is>
      </c>
      <c r="C9" s="30" t="inlineStr">
        <is>
          <t>bprime généralisé : -char mo -char-elem N</t>
        </is>
      </c>
      <c r="I9" s="12" t="inlineStr"/>
    </row>
    <row r="10">
      <c r="B10" s="35" t="inlineStr">
        <is>
          <t>Compositions du XML</t>
        </is>
      </c>
      <c r="C10" s="30" t="inlineStr">
        <is>
          <t>air (-bl) · mo (char, -char)</t>
        </is>
      </c>
      <c r="I10" s="12" t="inlineStr"/>
    </row>
    <row r="12" ht="18" customHeight="1">
      <c r="A12" s="4" t="inlineStr">
        <is>
          <t>§1 — HYPOTHÈSES</t>
        </is>
      </c>
    </row>
    <row r="13" ht="26" customHeight="1">
      <c r="A13" s="20" t="inlineStr">
        <is>
          <t>H1</t>
        </is>
      </c>
      <c r="B13" s="5" t="inlineStr">
        <is>
          <t>Le char est le métal pur, Mo:1.0 ; les additions du TZM sont ignorées.</t>
        </is>
      </c>
      <c r="I13" s="12" t="inlineStr">
        <is>
          <t>Ti, Zr et C durcissent l'alliage mais ne changent pas son oxydation, et n'ont pas de données dans la base. Pas de pyrolyse : B'g = 0.</t>
        </is>
      </c>
    </row>
    <row r="14" ht="26" customHeight="1">
      <c r="A14" s="20" t="inlineStr">
        <is>
          <t>H2</t>
        </is>
      </c>
      <c r="B14" s="5" t="inlineStr">
        <is>
          <t>Bilan suivi sur N, comme pour le SiC.</t>
        </is>
      </c>
      <c r="I14" s="12" t="inlineStr">
        <is>
          <t>B'c = masse nette gazéifiée. Pour un char monoélément, identique au suivi sur Mo tant que seul le métal est condensé.</t>
        </is>
      </c>
    </row>
    <row r="15" ht="26" customHeight="1">
      <c r="A15" s="20" t="inlineStr">
        <is>
          <t>H3</t>
        </is>
      </c>
      <c r="B15" s="5" t="inlineStr">
        <is>
          <t>L'équilibre complet est une BORNE BASSE.</t>
        </is>
      </c>
      <c r="I15" s="12" t="inlineStr">
        <is>
          <t>Avec un excès de métal, l'oxygène est fixé en MoO2 solide et B'c = 0 jusqu'à ~2350 K à 1 atm. En réalité MoO3 se forme sur la face externe de l'oxyde, fond à 795 °C et s'évapore : le molybdène s'oxyde vite dès ~1000 K.</t>
        </is>
      </c>
    </row>
    <row r="16" ht="26" customHeight="1">
      <c r="A16" s="20" t="inlineStr">
        <is>
          <t>H4</t>
        </is>
      </c>
      <c r="B16" s="5" t="inlineStr">
        <is>
          <t>La table « surface nue » (sans oxydes condensés) est une BORNE HAUTE.</t>
        </is>
      </c>
      <c r="I16" s="12" t="inlineStr">
        <is>
          <t>Tout l'oxygène qui atteint la paroi repart en oxydes gazeux : régime limité par la diffusion dans la couche limite. Conservative au-dessus de ~1000 K, fausse en dessous (cinétique lente).</t>
        </is>
      </c>
    </row>
    <row r="18" ht="18" customHeight="1">
      <c r="A18" s="4" t="inlineStr">
        <is>
          <t>§2 — DONNÉES D'ENTRÉE</t>
        </is>
      </c>
    </row>
    <row r="19">
      <c r="B19" s="35" t="inlineStr">
        <is>
          <t>M_Mo [g/mol]</t>
        </is>
      </c>
      <c r="C19" s="71" t="n">
        <v>95.95999999999999</v>
      </c>
      <c r="I19" s="12" t="inlineStr">
        <is>
          <t>data/thermo/elements.xml (masse de Mutation++)</t>
        </is>
      </c>
    </row>
    <row r="20">
      <c r="B20" s="35" t="inlineStr">
        <is>
          <t>fraction massique d'oxygène de l'air</t>
        </is>
      </c>
      <c r="C20" s="50">
        <f>Constantes!D19</f>
        <v>0.23290921795842306</v>
      </c>
      <c r="I20" s="12" t="inlineStr">
        <is>
          <t>y_O calculé au §2 de l'onglet Constantes</t>
        </is>
      </c>
    </row>
    <row r="21">
      <c r="B21" s="35" t="inlineStr">
        <is>
          <t>masse volumique du TZM [kg/m³]</t>
        </is>
      </c>
      <c r="C21" s="30" t="n">
        <v>10220</v>
      </c>
      <c r="I21" s="12" t="inlineStr">
        <is>
          <t>Mo pur : 10 280 kg/m³ — n'entre que dans la récession</t>
        </is>
      </c>
    </row>
    <row r="23" ht="18" customHeight="1">
      <c r="A23" s="4" t="inlineStr">
        <is>
          <t>§3 — CALCUL PAS À PAS</t>
        </is>
      </c>
    </row>
    <row r="24">
      <c r="A24" s="20" t="inlineStr">
        <is>
          <t>&gt;</t>
        </is>
      </c>
      <c r="B24" s="20" t="inlineStr">
        <is>
          <t>Étape 1 — composition élémentaire du char : directe</t>
        </is>
      </c>
      <c r="I24" s="27" t="inlineStr">
        <is>
          <t>métal pur ⇒ x_Mo = y_Mo = 1</t>
        </is>
      </c>
    </row>
    <row r="25">
      <c r="A25" s="20" t="inlineStr">
        <is>
          <t>&gt;</t>
        </is>
      </c>
      <c r="B25" s="20" t="inlineStr">
        <is>
          <t>Étape 2 — réaction limite du régime de diffusion</t>
        </is>
      </c>
      <c r="I25" s="27" t="inlineStr">
        <is>
          <t>Mo + 3/2 O2 → MoO3(g)</t>
        </is>
      </c>
    </row>
    <row r="26" ht="30" customHeight="1">
      <c r="B26" s="5" t="inlineStr">
        <is>
          <t>Chaque molécule d'O2 qui atteint la paroi emporte 2/3 d'atome de molybdène. La masse de Mo gazéifiée par unité de masse d'air vaut donc y_O · M_Mo / (3·M_O), indépendamment de la pression.</t>
        </is>
      </c>
    </row>
    <row r="27">
      <c r="B27" s="35" t="inlineStr">
        <is>
          <t>B'c limite de diffusion (MoO3)</t>
        </is>
      </c>
      <c r="C27" s="74">
        <f>C20*C19/(3*Constantes!$C$9)</f>
        <v>0.46565344824239585</v>
      </c>
      <c r="I27" s="12" t="inlineStr">
        <is>
          <t>table « surface nue » : 0.4657 sur tout le plateau</t>
        </is>
      </c>
    </row>
    <row r="28">
      <c r="B28" s="35" t="inlineStr">
        <is>
          <t>B'c si l'oxyde gazeux était MoO2</t>
        </is>
      </c>
      <c r="C28" s="74">
        <f>C20*C19/(2*Constantes!$C$9)</f>
        <v>0.6984801723635938</v>
      </c>
      <c r="I28" s="12" t="inlineStr">
        <is>
          <t>borne supérieure du plateau, approchée à haute T quand MoO2 et MoO remplacent MoO3</t>
        </is>
      </c>
    </row>
    <row r="30" ht="18" customHeight="1">
      <c r="A30" s="4" t="inlineStr">
        <is>
          <t>§4 — RÉSULTAT : CE QUI ENTRE DANS LE XML</t>
        </is>
      </c>
    </row>
    <row r="31">
      <c r="B31" s="6" t="inlineStr">
        <is>
          <t>Composition élémentaire</t>
        </is>
      </c>
      <c r="C31" s="6" t="inlineStr">
        <is>
          <t>Mo</t>
        </is>
      </c>
      <c r="D31" s="6" t="inlineStr">
        <is>
          <t>N</t>
        </is>
      </c>
      <c r="E31" s="6" t="inlineStr">
        <is>
          <t>O</t>
        </is>
      </c>
      <c r="F31" s="6" t="inlineStr"/>
      <c r="G31" s="6" t="inlineStr"/>
      <c r="H31" s="6" t="inlineStr"/>
    </row>
    <row r="32">
      <c r="B32" s="7" t="inlineStr">
        <is>
          <t>mo — valeur portée dans le XML</t>
        </is>
      </c>
      <c r="C32" s="44" t="n">
        <v>1</v>
      </c>
      <c r="D32" s="11" t="inlineStr">
        <is>
          <t>—</t>
        </is>
      </c>
      <c r="E32" s="11" t="inlineStr">
        <is>
          <t>—</t>
        </is>
      </c>
      <c r="F32" s="15" t="inlineStr"/>
      <c r="G32" s="15" t="inlineStr"/>
      <c r="H32" s="15" t="inlineStr"/>
    </row>
    <row r="33">
      <c r="B33" s="7" t="inlineStr">
        <is>
          <t>air — valeur portée dans le XML</t>
        </is>
      </c>
      <c r="C33" s="11" t="inlineStr">
        <is>
          <t>—</t>
        </is>
      </c>
      <c r="D33" s="44" t="n">
        <v>0.79</v>
      </c>
      <c r="E33" s="44" t="n">
        <v>0.21</v>
      </c>
      <c r="F33" s="15" t="inlineStr"/>
      <c r="G33" s="15" t="inlineStr"/>
      <c r="H33" s="15" t="inlineStr"/>
    </row>
    <row r="34">
      <c r="B34" s="12" t="inlineStr">
        <is>
          <t>La variante « surface nue » n'est pas un fichier du dépôt : mo_bprime.py l'écrit à la volée en retirant MoO2(cr), MoO3(cr) et MoO3(L) de la liste d'espèces.</t>
        </is>
      </c>
    </row>
    <row r="36" ht="18" customHeight="1">
      <c r="A36" s="4" t="inlineStr">
        <is>
          <t>§5 — CONTRÔLES ET VALIDATION CROISÉE</t>
        </is>
      </c>
    </row>
    <row r="37">
      <c r="B37" s="35" t="inlineStr">
        <is>
          <t>plateau de la table « surface nue »</t>
        </is>
      </c>
      <c r="C37" s="78" t="n">
        <v>0.4657</v>
      </c>
      <c r="I37" s="12" t="inlineStr">
        <is>
          <t>à comparer au calcul analytique du §3</t>
        </is>
      </c>
    </row>
    <row r="38">
      <c r="B38" s="35" t="inlineStr">
        <is>
          <t>écart relatif</t>
        </is>
      </c>
      <c r="C38" s="67">
        <f>ABS(C37-C27)/C27</f>
        <v>9.99708211758358e-05</v>
      </c>
      <c r="I38" s="12" t="inlineStr">
        <is>
          <t>l'arrondi de la table</t>
        </is>
      </c>
    </row>
    <row r="39">
      <c r="B39" s="35" t="inlineStr">
        <is>
          <t>points instables (critère de force motrice)</t>
        </is>
      </c>
      <c r="C39" s="79" t="n">
        <v>0</v>
      </c>
      <c r="I39" s="12" t="inlineStr">
        <is>
          <t>table d'équilibre complet, 4725 points — contrôle du script SiC</t>
        </is>
      </c>
    </row>
    <row r="41" ht="18" customHeight="1">
      <c r="A41" s="4" t="inlineStr">
        <is>
          <t>§6 — SENSIBILITÉ — disparition des oxydes condensés (équilibre complet)</t>
        </is>
      </c>
    </row>
    <row r="42">
      <c r="B42" s="6" t="inlineStr">
        <is>
          <t>P [atm]</t>
        </is>
      </c>
      <c r="C42" s="6" t="inlineStr">
        <is>
          <t>T_w [K]</t>
        </is>
      </c>
      <c r="D42" s="6" t="inlineStr"/>
      <c r="E42" s="6" t="inlineStr"/>
      <c r="F42" s="6" t="inlineStr"/>
      <c r="G42" s="6" t="inlineStr"/>
      <c r="H42" s="6" t="inlineStr"/>
    </row>
    <row r="43">
      <c r="B43" s="80" t="n">
        <v>0.001</v>
      </c>
      <c r="C43" s="40" t="n">
        <v>1875</v>
      </c>
      <c r="D43" s="15" t="inlineStr"/>
      <c r="E43" s="15" t="inlineStr"/>
      <c r="F43" s="15" t="inlineStr"/>
      <c r="G43" s="15" t="inlineStr"/>
      <c r="H43" s="15" t="inlineStr"/>
    </row>
    <row r="44">
      <c r="B44" s="80" t="n">
        <v>0.01</v>
      </c>
      <c r="C44" s="40" t="n">
        <v>2025</v>
      </c>
      <c r="D44" s="15" t="inlineStr"/>
      <c r="E44" s="15" t="inlineStr"/>
      <c r="F44" s="15" t="inlineStr"/>
      <c r="G44" s="15" t="inlineStr"/>
      <c r="H44" s="15" t="inlineStr"/>
    </row>
    <row r="45">
      <c r="B45" s="80" t="n">
        <v>0.1</v>
      </c>
      <c r="C45" s="40" t="n">
        <v>2175</v>
      </c>
      <c r="D45" s="15" t="inlineStr"/>
      <c r="E45" s="15" t="inlineStr"/>
      <c r="F45" s="15" t="inlineStr"/>
      <c r="G45" s="15" t="inlineStr"/>
      <c r="H45" s="15" t="inlineStr"/>
    </row>
    <row r="46">
      <c r="B46" s="80" t="n">
        <v>1</v>
      </c>
      <c r="C46" s="40" t="n">
        <v>2350</v>
      </c>
      <c r="D46" s="15" t="inlineStr"/>
      <c r="E46" s="15" t="inlineStr"/>
      <c r="F46" s="15" t="inlineStr"/>
      <c r="G46" s="15" t="inlineStr"/>
      <c r="H46" s="15" t="inlineStr"/>
    </row>
    <row r="47">
      <c r="B47" s="80" t="n">
        <v>10</v>
      </c>
      <c r="C47" s="40" t="n">
        <v>2600</v>
      </c>
      <c r="D47" s="15" t="inlineStr"/>
      <c r="E47" s="15" t="inlineStr"/>
      <c r="F47" s="15" t="inlineStr"/>
      <c r="G47" s="15" t="inlineStr"/>
      <c r="H47" s="15" t="inlineStr"/>
    </row>
    <row r="48">
      <c r="B48" s="80" t="n">
        <v>100</v>
      </c>
      <c r="C48" s="40" t="n">
        <v>2925</v>
      </c>
      <c r="D48" s="15" t="inlineStr"/>
      <c r="E48" s="15" t="inlineStr"/>
      <c r="F48" s="15" t="inlineStr"/>
      <c r="G48" s="15" t="inlineStr"/>
      <c r="H48" s="15" t="inlineStr"/>
    </row>
    <row r="49">
      <c r="B49" s="80" t="n">
        <v>1000</v>
      </c>
      <c r="C49" s="40" t="n">
        <v>4775</v>
      </c>
      <c r="D49" s="15" t="inlineStr"/>
      <c r="E49" s="15" t="inlineStr"/>
      <c r="F49" s="15" t="inlineStr"/>
      <c r="G49" s="15" t="inlineStr"/>
      <c r="H49" s="15" t="inlineStr"/>
    </row>
    <row r="50">
      <c r="B50" s="12" t="inlineStr">
        <is>
          <t>En dessous de ces températures, l'équilibre complet donne B'c = 0 (MoO2 solide) et la surface nue 0.466 : la vérité est entre les deux, fixée par la cinétique. Au-dessus, les deux tables coïncident ; fusion du métal à 2896 K, puis sublimation jusqu'au plafond B'c = 200.</t>
        </is>
      </c>
    </row>
    <row r="52" ht="18" customHeight="1">
      <c r="A52" s="4" t="inlineStr">
        <is>
          <t>§7 — RÉPONSE MATÉRIAU (n'entre PAS dans le XML)</t>
        </is>
      </c>
    </row>
    <row r="53">
      <c r="B53" s="35" t="inlineStr">
        <is>
          <t>couplage k = B'g / B'c</t>
        </is>
      </c>
      <c r="C53" s="70" t="n">
        <v>0</v>
      </c>
      <c r="I53" s="12" t="inlineStr">
        <is>
          <t>pas de pyrolyse interne</t>
        </is>
      </c>
    </row>
    <row r="54">
      <c r="B54" s="35" t="inlineStr">
        <is>
          <t>récession par unité de flux en limite de diffusion, B'c/ρ [m³/kg]</t>
        </is>
      </c>
      <c r="C54" s="41">
        <f>C27/C21</f>
        <v>4.556295971060625e-05</v>
      </c>
      <c r="I54" s="12" t="inlineStr">
        <is>
          <t>ṡ = B'c·ṁe/ρ — borne haute au-dessus de ~1000 K</t>
        </is>
      </c>
    </row>
    <row r="55">
      <c r="B55" s="12" t="inlineStr">
        <is>
          <t>Dans l'air, le TZM s'emploie revêtu (siliciures de type MoSi2). La table décrit le métal mis à nu par une défaillance du revêtement.</t>
        </is>
      </c>
    </row>
    <row r="57" ht="18" customHeight="1">
      <c r="A57" s="4" t="inlineStr">
        <is>
          <t>§8 — BLOC XML</t>
        </is>
      </c>
    </row>
    <row r="58">
      <c r="B58" s="29" t="inlineStr">
        <is>
          <t>&lt;mixture thermo_db="NASA-9"&gt;</t>
        </is>
      </c>
    </row>
    <row r="59">
      <c r="B59" s="29" t="inlineStr">
        <is>
          <t xml:space="preserve">    &lt;species&gt;</t>
        </is>
      </c>
    </row>
    <row r="60">
      <c r="B60" s="29" t="inlineStr">
        <is>
          <t xml:space="preserve">        N O NO N2 O2</t>
        </is>
      </c>
    </row>
    <row r="61">
      <c r="B61" s="29" t="inlineStr">
        <is>
          <t xml:space="preserve">        Mo MoO MoO2 MoO3 Mo2O6 Mo3O9 Mo4O12 Mo5O15</t>
        </is>
      </c>
    </row>
    <row r="62">
      <c r="B62" s="29" t="inlineStr">
        <is>
          <t xml:space="preserve">        Mo(cr) Mo(L) MoO2(cr) MoO3(cr) MoO3(L)</t>
        </is>
      </c>
    </row>
    <row r="63">
      <c r="B63" s="29" t="inlineStr">
        <is>
          <t xml:space="preserve">    &lt;/species&gt;</t>
        </is>
      </c>
    </row>
    <row r="64">
      <c r="B64" s="29" t="inlineStr">
        <is>
          <t xml:space="preserve">    &lt;element_compositions default="air"&gt;</t>
        </is>
      </c>
    </row>
    <row r="65">
      <c r="B65" s="29" t="inlineStr">
        <is>
          <t xml:space="preserve">        &lt;composition name="air"&gt;N:0.79, O:0.21&lt;/composition&gt;</t>
        </is>
      </c>
    </row>
    <row r="66">
      <c r="B66" s="29" t="inlineStr">
        <is>
          <t xml:space="preserve">        &lt;composition name="mo"&gt;Mo:1.0&lt;/composition&gt;</t>
        </is>
      </c>
    </row>
    <row r="67">
      <c r="B67" s="29" t="inlineStr">
        <is>
          <t xml:space="preserve">    &lt;/element_compositions&gt;</t>
        </is>
      </c>
    </row>
    <row r="68">
      <c r="B68" s="29" t="inlineStr">
        <is>
          <t>&lt;/mixture&gt;</t>
        </is>
      </c>
    </row>
    <row r="70" ht="16" customHeight="1">
      <c r="B70" s="5" t="inlineStr">
        <is>
          <t>bprime -T 300:25:5000 -P &lt;P&gt; -b 0.0 -m mo-air -bl air -char mo -char-elem N</t>
        </is>
      </c>
    </row>
  </sheetData>
  <mergeCells count="34">
    <mergeCell ref="A41:I41"/>
    <mergeCell ref="B62:I62"/>
    <mergeCell ref="A18:I18"/>
    <mergeCell ref="B24:H24"/>
    <mergeCell ref="B59:I59"/>
    <mergeCell ref="A3:I3"/>
    <mergeCell ref="B15:H15"/>
    <mergeCell ref="B66:I66"/>
    <mergeCell ref="A12:I12"/>
    <mergeCell ref="B58:I58"/>
    <mergeCell ref="A57:I57"/>
    <mergeCell ref="B70:I70"/>
    <mergeCell ref="A2:I2"/>
    <mergeCell ref="A5:I5"/>
    <mergeCell ref="A23:I23"/>
    <mergeCell ref="B16:H16"/>
    <mergeCell ref="B60:I60"/>
    <mergeCell ref="B67:I67"/>
    <mergeCell ref="B25:H25"/>
    <mergeCell ref="B61:I61"/>
    <mergeCell ref="A52:I52"/>
    <mergeCell ref="B34:I34"/>
    <mergeCell ref="A30:I30"/>
    <mergeCell ref="B65:I65"/>
    <mergeCell ref="B14:H14"/>
    <mergeCell ref="B68:I68"/>
    <mergeCell ref="B64:I64"/>
    <mergeCell ref="B13:H13"/>
    <mergeCell ref="B55:I55"/>
    <mergeCell ref="A36:I36"/>
    <mergeCell ref="A1:I1"/>
    <mergeCell ref="B63:I63"/>
    <mergeCell ref="B50:I50"/>
    <mergeCell ref="B26:I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2026-09-25T06:50:54Z</dcterms:created>
  <dcterms:modified xsi:type="dcterms:W3CDTF">2026-09-25T06:50:54Z</dcterms:modified>
</cp:coreProperties>
</file>